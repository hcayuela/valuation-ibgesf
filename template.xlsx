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1_DRE" sheetId="3" state="visible" r:id="rId5"/>
    <sheet name="2_Balanco" sheetId="4" state="visible" r:id="rId6"/>
    <sheet name="3_DFC" sheetId="5" state="visible" r:id="rId7"/>
    <sheet name="4_Normalizacao" sheetId="6" state="visible" r:id="rId8"/>
    <sheet name="5_Valuation" sheetId="7" state="visible" r:id="rId9"/>
    <sheet name="6_Estrutura" sheetId="8" state="visible" r:id="rId10"/>
    <sheet name="7_Retorno" sheetId="9" state="visible" r:id="rId11"/>
    <sheet name="8_Qualidade" sheetId="10" state="visible" r:id="rId12"/>
    <sheet name="9_Glossario_Font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<sst xmlns="http://schemas.openxmlformats.org/spreadsheetml/2006/main" count="919" uniqueCount="728">
  <si>
    <t xml:space="preserve">Valuation de PMEs — Metodologia Search Fund / Buy Then Build</t>
  </si>
  <si>
    <t xml:space="preserve">Planilha didática em português. Todos os valores em R$ mil. Exemplo preenchido = caso do guia 'Buy Then Build — conceitos e fórmulas'.</t>
  </si>
  <si>
    <t xml:space="preserve">PARA QUE SERVE</t>
  </si>
  <si>
    <t xml:space="preserve">Estimar quanto vale uma PME, quanto pagar por ela e se a dívida da compra é pagável — a pergunta central do Buy Then Build:</t>
  </si>
  <si>
    <t xml:space="preserve">"o negócio continuará produzindo caixa suficiente depois da troca de dono, dos investimentos necessários e do pagamento da dívida?"</t>
  </si>
  <si>
    <t xml:space="preserve">Combina três visões: (1) múltiplo de SDE, usado por compradores-operadores nos EUA (Walker Deibel); (2) múltiplo de EBITDA ajustado, usado por search funds tradicionais (Stanford nos EUA, IESE na Espanha); (3) Fluxo de Caixa Descontado (Damodaran).</t>
  </si>
  <si>
    <t xml:space="preserve">PASSO A PASSO</t>
  </si>
  <si>
    <t xml:space="preserve">1_DRE</t>
  </si>
  <si>
    <t xml:space="preserve">Copie 3 anos de DRE. A coluna 'Onde encontrar' diz de qual linha/conta tirar cada número. Confira a diferença do lucro líquido (deve ser zero).</t>
  </si>
  <si>
    <t xml:space="preserve">2_Balanco</t>
  </si>
  <si>
    <t xml:space="preserve">Copie 4 datas de balanço (para calcular a variação do capital de giro). A aba calcula NCG, dívida líquida e prazos médios.</t>
  </si>
  <si>
    <t xml:space="preserve">3_DFC</t>
  </si>
  <si>
    <t xml:space="preserve">Informe FCO e CAPEX. Sem DFC? Use a ponte indireta (lucro + D&amp;A − aumento da NCG).</t>
  </si>
  <si>
    <t xml:space="preserve">4_Normalizacao</t>
  </si>
  <si>
    <t xml:space="preserve">Transforme o EBITDA contábil em SDE (visão do dono-operador) e em EBITDA ajustado (visão com gestor contratado). Defina os pesos dos 3 anos.</t>
  </si>
  <si>
    <t xml:space="preserve">5_Valuation</t>
  </si>
  <si>
    <t xml:space="preserve">Escolha múltiplos, premissas de projeção e WACC. Resultado: faixa de EV e ponte até o valor dos sócios. Compare com as referências de mercado da seção F.</t>
  </si>
  <si>
    <t xml:space="preserve">6_Estrutura</t>
  </si>
  <si>
    <t xml:space="preserve">Monte a oferta, fontes e usos, dívida sênior e seller note. Veja o DSCR pro forma, projetado e no estresse, e a queda de receita que quebra a dívida.</t>
  </si>
  <si>
    <t xml:space="preserve">7_Retorno</t>
  </si>
  <si>
    <t xml:space="preserve">Simule a saída em 5 anos: retorno dos investidores (com step-up e preferencial), valor do searcher e retorno do comprador-operador.</t>
  </si>
  <si>
    <t xml:space="preserve">8_Qualidade</t>
  </si>
  <si>
    <t xml:space="preserve">Concentração de clientes/fornecedores, recorrência e dependência do dono. Use para calibrar o prêmio de risco e a estrutura.</t>
  </si>
  <si>
    <t xml:space="preserve">Resumo</t>
  </si>
  <si>
    <t xml:space="preserve">Painel com os principais números e alertas.</t>
  </si>
  <si>
    <t xml:space="preserve">9_Glossario_Fontes</t>
  </si>
  <si>
    <t xml:space="preserve">Siglas, fórmulas e as fontes dos EUA e da Espanha usadas como referência.</t>
  </si>
  <si>
    <t xml:space="preserve">LEGENDA DE CORES</t>
  </si>
  <si>
    <t xml:space="preserve">1.234,5</t>
  </si>
  <si>
    <t xml:space="preserve">Fundo azul claro (✏ PREENCHER): transcreva do documento financeiro. Também usado para premissas e estimativas editáveis (~ ESTIMATIVA nas abas 5-8).</t>
  </si>
  <si>
    <t xml:space="preserve">Fundo branco (= FÓRMULA): calculado automaticamente — não digite por cima.</t>
  </si>
  <si>
    <t xml:space="preserve">Fundo branco, fonte preta (→ LINK): número trazido de outra aba — não edite.</t>
  </si>
  <si>
    <t xml:space="preserve">Negrito preto: resultado-chave — número calculado automaticamente.</t>
  </si>
  <si>
    <t xml:space="preserve">0,90x</t>
  </si>
  <si>
    <t xml:space="preserve">Vermelho: DSCR abaixo de 1,0x (dívida não se paga). Amarelo-escuro: abaixo do mínimo desejado.</t>
  </si>
  <si>
    <t xml:space="preserve">PRINCÍPIOS DO MÉTODO</t>
  </si>
  <si>
    <t xml:space="preserve">Pague pelo passado</t>
  </si>
  <si>
    <t xml:space="preserve">O preço se apoia em resultado comprovado; o crescimento que você vai criar é seu, não do vendedor.</t>
  </si>
  <si>
    <t xml:space="preserve">Caixa, não lucro</t>
  </si>
  <si>
    <t xml:space="preserve">EBITDA e SDE não são caixa: ainda faltam impostos, capital de giro, CAPEX e dívida.</t>
  </si>
  <si>
    <t xml:space="preserve">Margem de segurança</t>
  </si>
  <si>
    <t xml:space="preserve">Se a compra só funciona com crescimento imediato, a folga é pequena. Veja o teste de estresse (aba 6).</t>
  </si>
  <si>
    <t xml:space="preserve">Não conte duas vezes</t>
  </si>
  <si>
    <t xml:space="preserve">Mesma obrigação não pode ser dívida e contingência; estoques no ajuste de NCG não somam ao preço.</t>
  </si>
  <si>
    <t xml:space="preserve">Contexto brasileiro</t>
  </si>
  <si>
    <t xml:space="preserve">Condições do SBA (EUA) e múltiplos americanos não valem direto no Brasil. IRPJ/CSLL: calcule pelo regime, não use 34% genérico.</t>
  </si>
  <si>
    <t xml:space="preserve">Limites</t>
  </si>
  <si>
    <t xml:space="preserve">Ferramenta de análise preliminar e formação. Não substitui diligência contábil, tributária e jurídica.</t>
  </si>
  <si>
    <t xml:space="preserve">Resumo do valuation — Search Fund / Buy Then Build (R$ mil)</t>
  </si>
  <si>
    <t xml:space="preserve">Tudo aqui é calculado. Preencha as abas 1 a 4 e revise as premissas das abas 5 a 8.</t>
  </si>
  <si>
    <t xml:space="preserve">RESULTADO NORMALIZADO</t>
  </si>
  <si>
    <t xml:space="preserve">Indicador</t>
  </si>
  <si>
    <t xml:space="preserve">2023</t>
  </si>
  <si>
    <t xml:space="preserve">2024</t>
  </si>
  <si>
    <t xml:space="preserve">2025</t>
  </si>
  <si>
    <t xml:space="preserve">Leitura</t>
  </si>
  <si>
    <t xml:space="preserve">Receita líquida</t>
  </si>
  <si>
    <t xml:space="preserve">EBITDA contábil</t>
  </si>
  <si>
    <t xml:space="preserve">SDE (ganho discricionário do vendedor)</t>
  </si>
  <si>
    <t xml:space="preserve">Para o comprador que opera a empresa.</t>
  </si>
  <si>
    <t xml:space="preserve">EBITDA ajustado (com gestor contratado)</t>
  </si>
  <si>
    <t xml:space="preserve">Base dos múltiplos de search fund.</t>
  </si>
  <si>
    <t xml:space="preserve">Margem EBITDA ajustada</t>
  </si>
  <si>
    <t xml:space="preserve">FCO</t>
  </si>
  <si>
    <t xml:space="preserve">CAPEX</t>
  </si>
  <si>
    <t xml:space="preserve">FCL após juros (FCO − CAPEX)</t>
  </si>
  <si>
    <t xml:space="preserve">Métrica principal da ferramenta IBGESF.</t>
  </si>
  <si>
    <t xml:space="preserve">Conversão de caixa (FCL antes dos juros ÷ EBITDA)</t>
  </si>
  <si>
    <t xml:space="preserve">VALOR</t>
  </si>
  <si>
    <t xml:space="preserve">Baixo</t>
  </si>
  <si>
    <t xml:space="preserve">Central</t>
  </si>
  <si>
    <t xml:space="preserve">Alto</t>
  </si>
  <si>
    <t xml:space="preserve">EV por múltiplo de SDE</t>
  </si>
  <si>
    <t xml:space="preserve">EV por múltiplo de EBITDA ajustado</t>
  </si>
  <si>
    <t xml:space="preserve">EV ponderado (inclui FCD)</t>
  </si>
  <si>
    <t xml:space="preserve">Faixa de negociação, não um número exato.</t>
  </si>
  <si>
    <t xml:space="preserve">EV pelo FCD</t>
  </si>
  <si>
    <t xml:space="preserve">Valor dos sócios (equity) — central</t>
  </si>
  <si>
    <t xml:space="preserve">OFERTA E FINANCIAMENTO</t>
  </si>
  <si>
    <t xml:space="preserve">EV da oferta</t>
  </si>
  <si>
    <t xml:space="preserve">Múltiplo de EBITDA ajustado da oferta</t>
  </si>
  <si>
    <t xml:space="preserve">Múltiplo de SDE implícito</t>
  </si>
  <si>
    <t xml:space="preserve">Buy Then Build: 2,5x–4x SDE (EUA).</t>
  </si>
  <si>
    <t xml:space="preserve">Preço aos vendedores</t>
  </si>
  <si>
    <t xml:space="preserve">Capital total necessário (usos)</t>
  </si>
  <si>
    <t xml:space="preserve">Diferente do preço: inclui quitação de dívida e custos.</t>
  </si>
  <si>
    <t xml:space="preserve">Capital próprio necessário</t>
  </si>
  <si>
    <t xml:space="preserve">Dívida de aquisição ÷ EBITDA ajustado</t>
  </si>
  <si>
    <t xml:space="preserve">DSCR pro forma (ano-base)</t>
  </si>
  <si>
    <t xml:space="preserve">Abaixo de 1,0x a dívida não se paga.</t>
  </si>
  <si>
    <t xml:space="preserve">DSCR mínimo projetado (2026–2030)</t>
  </si>
  <si>
    <t xml:space="preserve">DSCR no teste de estresse</t>
  </si>
  <si>
    <t xml:space="preserve">Queda de receita que leva o DSCR a 1,0x</t>
  </si>
  <si>
    <t xml:space="preserve">Margem de segurança do negócio.</t>
  </si>
  <si>
    <t xml:space="preserve">RETORNO (saída ilustrativa em 2030)</t>
  </si>
  <si>
    <t xml:space="preserve">MOIC dos investidores do search fund</t>
  </si>
  <si>
    <t xml:space="preserve">TIR aproximada dos investidores</t>
  </si>
  <si>
    <t xml:space="preserve">Valor do searcher na saída</t>
  </si>
  <si>
    <t xml:space="preserve">MOIC do comprador-operador (sem investidores)</t>
  </si>
  <si>
    <t xml:space="preserve">ALERTAS DE QUALIDADE</t>
  </si>
  <si>
    <t xml:space="preserve">Maior cliente ÷ receita</t>
  </si>
  <si>
    <t xml:space="preserve">Receita recorrente ÷ receita</t>
  </si>
  <si>
    <t xml:space="preserve">Funções sem substituto do dono</t>
  </si>
  <si>
    <t xml:space="preserve">Conferência da DRE (diferença 2025)</t>
  </si>
  <si>
    <t xml:space="preserve">Conferência fontes − usos</t>
  </si>
  <si>
    <t xml:space="preserve">1. DRE — Demonstração do Resultado do Exercício (R$ mil)</t>
  </si>
  <si>
    <t xml:space="preserve">Preencha as células amarelas com os números dos últimos 3 exercícios. Colunas G–I explicam onde achar cada linha.</t>
  </si>
  <si>
    <t xml:space="preserve">Linha</t>
  </si>
  <si>
    <t xml:space="preserve">Tipo</t>
  </si>
  <si>
    <t xml:space="preserve">Onde encontrar (documento / registro / conta)</t>
  </si>
  <si>
    <t xml:space="preserve">Conta / SPED ECD</t>
  </si>
  <si>
    <t xml:space="preserve">Cuidados — erros comuns</t>
  </si>
  <si>
    <t xml:space="preserve">RECEITA</t>
  </si>
  <si>
    <t xml:space="preserve">Receita bruta</t>
  </si>
  <si>
    <t xml:space="preserve">✏ PREENCHER</t>
  </si>
  <si>
    <t xml:space="preserve">DRE, 1ª linha ('Receita Operacional Bruta'). No Simples Nacional: soma do faturamento declarado no PGDAS-D.</t>
  </si>
  <si>
    <t xml:space="preserve">SPED ECD registro J150 (DRE); ECF registro L300; balancete: grupo de Receitas.</t>
  </si>
  <si>
    <t xml:space="preserve">Use o mesmo período (12 meses). Separe receita de venda de ativos e receitas financeiras — não são receita operacional.</t>
  </si>
  <si>
    <t xml:space="preserve">(−) Deduções: impostos sobre vendas, devoluções e descontos</t>
  </si>
  <si>
    <t xml:space="preserve">DRE, linhas logo abaixo da receita bruta (ICMS, ISS, PIS, COFINS, devoluções, abatimentos).</t>
  </si>
  <si>
    <t xml:space="preserve">J150 — deduções da receita bruta.</t>
  </si>
  <si>
    <t xml:space="preserve">Informe como número positivo (a planilha subtrai). No Simples, o DAS pode aparecer aqui ou em despesas — não conte duas vezes.</t>
  </si>
  <si>
    <t xml:space="preserve">[=] FÓRMULA</t>
  </si>
  <si>
    <t xml:space="preserve">Calculado.</t>
  </si>
  <si>
    <t xml:space="preserve">Base para margens e para o FCD.</t>
  </si>
  <si>
    <t xml:space="preserve">CUSTOS E DESPESAS</t>
  </si>
  <si>
    <t xml:space="preserve">(−) Custo dos produtos / serviços vendidos (sem depreciação)</t>
  </si>
  <si>
    <t xml:space="preserve">DRE, linha 'CMV', 'CPV' ou 'CSP'.</t>
  </si>
  <si>
    <t xml:space="preserve">J150 — custos; balancete: grupo de Custos.</t>
  </si>
  <si>
    <t xml:space="preserve">Se a depreciação da produção estiver dentro do custo, retire-a aqui e lance-a na linha de D&amp;A.</t>
  </si>
  <si>
    <t xml:space="preserve">Lucro bruto</t>
  </si>
  <si>
    <t xml:space="preserve">   Margem bruta (% da receita líquida)</t>
  </si>
  <si>
    <t xml:space="preserve">Margem = lucro bruto ÷ receita líquida.</t>
  </si>
  <si>
    <t xml:space="preserve">(−) Despesas operacionais (vendas, gerais e administrativas), sem D&amp;A</t>
  </si>
  <si>
    <t xml:space="preserve">DRE: despesas com vendas + gerais e administrativas + pessoal administrativo.</t>
  </si>
  <si>
    <t xml:space="preserve">J150 — despesas operacionais; balancete: grupo de Despesas.</t>
  </si>
  <si>
    <t xml:space="preserve">Tire daqui a depreciação/amortização (vai para a linha própria). Inclua o pró-labore do dono se ele estiver lançado como despesa.</t>
  </si>
  <si>
    <t xml:space="preserve">   das quais: remuneração do(s) dono(s) operador(es) — pró-labore, encargos e benefícios</t>
  </si>
  <si>
    <t xml:space="preserve">Folha de pagamento / razão contábil: contas 'Pró-labore', 'INSS s/ pró-labore', planos de saúde do dono.</t>
  </si>
  <si>
    <t xml:space="preserve">Razão das contas de pró-labore e encargos (ECD registro I250 – lançamentos).</t>
  </si>
  <si>
    <t xml:space="preserve">Distribuição de lucros NÃO é despesa: não está na DRE e não deve ser somada ao SDE.</t>
  </si>
  <si>
    <t xml:space="preserve">   das quais: despesas pessoais do dono pagas pela empresa (comprovadas)</t>
  </si>
  <si>
    <t xml:space="preserve">Razão contábil: veículos, viagens, cartão corporativo, seguros usados pelo dono.</t>
  </si>
  <si>
    <t xml:space="preserve">Razão das contas de despesa (ECD I250).</t>
  </si>
  <si>
    <t xml:space="preserve">Só entra o que tiver comprovante. O nome da conta não prova que o gasto é dispensável.</t>
  </si>
  <si>
    <t xml:space="preserve">   das quais: despesas não recorrentes (ex.: processo judicial, mudança de sede)</t>
  </si>
  <si>
    <t xml:space="preserve">Notas explicativas, razão contábil, conversa com o vendedor + documentos.</t>
  </si>
  <si>
    <t xml:space="preserve">Razão contábil; contratos; sentenças.</t>
  </si>
  <si>
    <t xml:space="preserve">Uma despesa só é 'não recorrente' se houver razão concreta para não se repetir.</t>
  </si>
  <si>
    <t xml:space="preserve">(+/−) Outras receitas (despesas) operacionais</t>
  </si>
  <si>
    <t xml:space="preserve">DRE: 'Outras receitas/despesas operacionais' (ex.: venda de imobilizado, recuperação de tributos).</t>
  </si>
  <si>
    <t xml:space="preserve">J150.</t>
  </si>
  <si>
    <t xml:space="preserve">Sinal: positivo = receita. Ganhos pontuais inflam o EBITDA e precisam ser retirados na normalização.</t>
  </si>
  <si>
    <t xml:space="preserve">   dos quais: ganhos não recorrentes (ex.: venda de ativo, crédito tributário extraordinário)</t>
  </si>
  <si>
    <t xml:space="preserve">Notas explicativas / razão contábil.</t>
  </si>
  <si>
    <t xml:space="preserve">Retirados na aba 4 (Normalização).</t>
  </si>
  <si>
    <t xml:space="preserve">Calculado: lucro bruto − despesas operacionais ± outras.</t>
  </si>
  <si>
    <t xml:space="preserve">EBITDA não é caixa: ainda faltam impostos, capital de giro, CAPEX e dívida.</t>
  </si>
  <si>
    <t xml:space="preserve">   Margem EBITDA</t>
  </si>
  <si>
    <t xml:space="preserve">(−) Depreciação e amortização (D&amp;A)</t>
  </si>
  <si>
    <t xml:space="preserve">DRE (quando aberta) ou DFC método indireto, linha 'Depreciação e amortização'. Também nas notas do imobilizado.</t>
  </si>
  <si>
    <t xml:space="preserve">J150; DFC; razão das contas de depreciação acumulada.</t>
  </si>
  <si>
    <t xml:space="preserve">Confira se a D&amp;A já não está somada dentro de custos/despesas — senão você a adiciona duas vezes.</t>
  </si>
  <si>
    <t xml:space="preserve">EBIT (lucro operacional)</t>
  </si>
  <si>
    <t xml:space="preserve">(−) Resultado financeiro líquido (despesa = positivo)</t>
  </si>
  <si>
    <t xml:space="preserve">DRE: 'Despesas financeiras' − 'Receitas financeiras' (juros de empréstimos, tarifas, multas).</t>
  </si>
  <si>
    <t xml:space="preserve">J150 — resultado financeiro.</t>
  </si>
  <si>
    <t xml:space="preserve">Juros da dívida antiga somem após a compra; a nova dívida entra na aba 6.</t>
  </si>
  <si>
    <t xml:space="preserve">Lucro antes do IR e CSLL (LAIR)</t>
  </si>
  <si>
    <t xml:space="preserve">(−) IRPJ e CSLL</t>
  </si>
  <si>
    <t xml:space="preserve">DRE, linha 'Provisão para IRPJ e CSLL'. Lucro Presumido: DARFs trimestrais. Simples: embutido no DAS.</t>
  </si>
  <si>
    <t xml:space="preserve">J150; ECF (registros N620/N670 no Lucro Real).</t>
  </si>
  <si>
    <t xml:space="preserve">Não use 34% genérico: no Lucro Real, IRPJ = 15% + adicional de 10% sobre o que excede R$ 240 mil/ano; CSLL = 9%.</t>
  </si>
  <si>
    <t xml:space="preserve">Lucro líquido</t>
  </si>
  <si>
    <t xml:space="preserve">Lucro líquido na DRE original (para conferência)</t>
  </si>
  <si>
    <t xml:space="preserve">Última linha da DRE do contador.</t>
  </si>
  <si>
    <t xml:space="preserve">Serve para checar se você transcreveu tudo.</t>
  </si>
  <si>
    <t xml:space="preserve">   Diferença (deve ser zero)</t>
  </si>
  <si>
    <t xml:space="preserve">Se diferente de zero, alguma linha ficou de fora ou com sinal trocado.</t>
  </si>
  <si>
    <t xml:space="preserve">2. Balanço Patrimonial — saldos de fim de ano (R$ mil)</t>
  </si>
  <si>
    <t xml:space="preserve">Precisa de 4 datas (2022 a 2025) para calcular a variação do capital de giro de 3 anos.</t>
  </si>
  <si>
    <t xml:space="preserve">Conta</t>
  </si>
  <si>
    <t xml:space="preserve">31/12/2022</t>
  </si>
  <si>
    <t xml:space="preserve">31/12/2023</t>
  </si>
  <si>
    <t xml:space="preserve">31/12/2024</t>
  </si>
  <si>
    <t xml:space="preserve">31/12/2025</t>
  </si>
  <si>
    <t xml:space="preserve">ATIVO</t>
  </si>
  <si>
    <t xml:space="preserve">Caixa, bancos e aplicações de liquidez imediata</t>
  </si>
  <si>
    <t xml:space="preserve">Balanço: Ativo Circulante → 'Caixa e equivalentes de caixa'.</t>
  </si>
  <si>
    <t xml:space="preserve">J100 (Balanço) — Disponível.</t>
  </si>
  <si>
    <t xml:space="preserve">Confira com extratos bancários na mesma data. Caixa bloqueado ou dado em garantia não é elegível.</t>
  </si>
  <si>
    <t xml:space="preserve">Contas a receber de clientes</t>
  </si>
  <si>
    <t xml:space="preserve">Ativo Circulante → 'Clientes' / 'Duplicatas a receber' (líquido de PDD).</t>
  </si>
  <si>
    <t xml:space="preserve">J100 — Clientes.</t>
  </si>
  <si>
    <t xml:space="preserve">Peça o aging (vencidos por faixa). Recebíveis antigos podem não virar caixa.</t>
  </si>
  <si>
    <t xml:space="preserve">Estoques</t>
  </si>
  <si>
    <t xml:space="preserve">Ativo Circulante → 'Estoques'.</t>
  </si>
  <si>
    <t xml:space="preserve">J100 — Estoques; inventário físico.</t>
  </si>
  <si>
    <t xml:space="preserve">Estoque obsoleto infla o capital de giro e o lucro. Peça inventário recente.</t>
  </si>
  <si>
    <t xml:space="preserve">Outros ativos operacionais (adiantamentos, impostos a recuperar)</t>
  </si>
  <si>
    <t xml:space="preserve">Ativo Circulante → demais contas operacionais.</t>
  </si>
  <si>
    <t xml:space="preserve">J100.</t>
  </si>
  <si>
    <t xml:space="preserve">Não inclua empréstimos a sócios: trate como item a quitar/ajustar no preço.</t>
  </si>
  <si>
    <t xml:space="preserve">Imobilizado líquido</t>
  </si>
  <si>
    <t xml:space="preserve">Ativo Não Circulante → 'Imobilizado' (custo − depreciação acumulada).</t>
  </si>
  <si>
    <t xml:space="preserve">J100 — Imobilizado; notas explicativas.</t>
  </si>
  <si>
    <t xml:space="preserve">Valor contábil ≠ valor de mercado. Verifique estado e manutenção postergada.</t>
  </si>
  <si>
    <t xml:space="preserve">Intangível líquido (software, marcas)</t>
  </si>
  <si>
    <t xml:space="preserve">Ativo Não Circulante → 'Intangível'.</t>
  </si>
  <si>
    <t xml:space="preserve">J100 — Intangível.</t>
  </si>
  <si>
    <t xml:space="preserve">Em software, desenvolvimento capitalizado é CAPEX: confira na aba 3.</t>
  </si>
  <si>
    <t xml:space="preserve">PASSIVO</t>
  </si>
  <si>
    <t xml:space="preserve">Fornecedores</t>
  </si>
  <si>
    <t xml:space="preserve">Passivo Circulante → 'Fornecedores'.</t>
  </si>
  <si>
    <t xml:space="preserve">J100 — Fornecedores.</t>
  </si>
  <si>
    <t xml:space="preserve">Atrasos com fornecedores inflam o caixa artificialmente antes da venda.</t>
  </si>
  <si>
    <t xml:space="preserve">Outros passivos operacionais (salários, encargos, tributos a recolher)</t>
  </si>
  <si>
    <t xml:space="preserve">Passivo Circulante → obrigações trabalhistas e tributárias do mês.</t>
  </si>
  <si>
    <t xml:space="preserve">Tributos em atraso ou parcelados são DÍVIDA (linha abaixo), não capital de giro.</t>
  </si>
  <si>
    <t xml:space="preserve">Empréstimos e financiamentos — curto prazo</t>
  </si>
  <si>
    <t xml:space="preserve">Passivo Circulante → 'Empréstimos e financiamentos'.</t>
  </si>
  <si>
    <t xml:space="preserve">J100; contratos bancários.</t>
  </si>
  <si>
    <t xml:space="preserve">Inclua antecipação de recebíveis, cheque especial e conta garantida.</t>
  </si>
  <si>
    <t xml:space="preserve">Empréstimos e financiamentos — longo prazo</t>
  </si>
  <si>
    <t xml:space="preserve">Passivo Não Circulante → 'Empréstimos e financiamentos'.</t>
  </si>
  <si>
    <t xml:space="preserve">J100; contratos.</t>
  </si>
  <si>
    <t xml:space="preserve">Reconcilie com contratos e extratos (saldo devedor).</t>
  </si>
  <si>
    <t xml:space="preserve">Parcelamentos tributários e outras obrigações equivalentes a dívida</t>
  </si>
  <si>
    <t xml:space="preserve">Passivo (CP e LP) → 'Parcelamentos', 'REFIS', dívidas com sócios, leasing.</t>
  </si>
  <si>
    <t xml:space="preserve">J100; relatório de débitos da Receita/PGFN.</t>
  </si>
  <si>
    <t xml:space="preserve">Contingências (processos) ficam na aba 5, não aqui.</t>
  </si>
  <si>
    <t xml:space="preserve">INDICADORES CALCULADOS</t>
  </si>
  <si>
    <t xml:space="preserve">Necessidade de capital de giro (NCG) operacional</t>
  </si>
  <si>
    <t xml:space="preserve">Calculado: CR + estoques + outros ativos op. − fornecedores − outros passivos op.</t>
  </si>
  <si>
    <t xml:space="preserve">Exclui caixa e dívida. NCG maior consome caixa; menor libera caixa.</t>
  </si>
  <si>
    <t xml:space="preserve">Variação da NCG no ano (aumento = consumo de caixa)</t>
  </si>
  <si>
    <t xml:space="preserve">Calculado: NCG final − NCG inicial.</t>
  </si>
  <si>
    <t xml:space="preserve">Vai para a ponte do FCO (aba 3) e para o DSCR (aba 6).</t>
  </si>
  <si>
    <t xml:space="preserve">Dívida bruta</t>
  </si>
  <si>
    <t xml:space="preserve">Dívida líquida (dívida bruta − caixa)</t>
  </si>
  <si>
    <t xml:space="preserve">Dívida líquida ÷ EBITDA contábil</t>
  </si>
  <si>
    <t xml:space="preserve">Mostra quanto do caixa operacional já está comprometido antes da aquisição.</t>
  </si>
  <si>
    <t xml:space="preserve">Prazo médio de recebimento</t>
  </si>
  <si>
    <t xml:space="preserve">Calculado: contas a receber ÷ receita bruta × 365.</t>
  </si>
  <si>
    <t xml:space="preserve">Aproximação com saldo de fim de ano; sazonalidade pode distorcer.</t>
  </si>
  <si>
    <t xml:space="preserve">Prazo médio de estoque</t>
  </si>
  <si>
    <t xml:space="preserve">Calculado: estoque ÷ custo vendido × 365.</t>
  </si>
  <si>
    <t xml:space="preserve">Prazo médio de pagamento</t>
  </si>
  <si>
    <t xml:space="preserve">Calculado: fornecedores ÷ custo vendido × 365 (aproximação quando compras não estão disponíveis).</t>
  </si>
  <si>
    <t xml:space="preserve">Ciclo de caixa</t>
  </si>
  <si>
    <t xml:space="preserve">Calculado: PMR + PME − PMP.</t>
  </si>
  <si>
    <t xml:space="preserve">É um prazo em dias, não o valor em R$ da necessidade de giro.</t>
  </si>
  <si>
    <t xml:space="preserve">3. DFC — Demonstrativo de Fluxo de Caixa (R$ mil)</t>
  </si>
  <si>
    <t xml:space="preserve">FCL = FCO − CAPEX. Se a empresa não tem DFC, a 'ponte indireta' abaixo estima o FCO a partir da DRE e do Balanço.</t>
  </si>
  <si>
    <t xml:space="preserve">FLUXO DAS ATIVIDADES OPERACIONAIS</t>
  </si>
  <si>
    <t xml:space="preserve">FCO — Fluxo de caixa das atividades operacionais (reportado)</t>
  </si>
  <si>
    <t xml:space="preserve">DFC: total 'Caixa líquido gerado pelas atividades operacionais'.</t>
  </si>
  <si>
    <t xml:space="preserve">DFC nas demonstrações publicadas ou anexada à ECD (registro J800).</t>
  </si>
  <si>
    <t xml:space="preserve">Verifique se os juros pagos estão no FCO (padrão nesta planilha) ou no financiamento — CPC 03 permite ambos.</t>
  </si>
  <si>
    <t xml:space="preserve">   Juros pagos (informativo)</t>
  </si>
  <si>
    <t xml:space="preserve">DFC (nota ou linha própria) ou extratos de empréstimos.</t>
  </si>
  <si>
    <t xml:space="preserve">DFC; extratos.</t>
  </si>
  <si>
    <t xml:space="preserve">Usado para mostrar o FCL antes dos juros.</t>
  </si>
  <si>
    <t xml:space="preserve">FLUXO DAS ATIVIDADES DE INVESTIMENTO (CAPEX)</t>
  </si>
  <si>
    <t xml:space="preserve">CAPEX de manutenção</t>
  </si>
  <si>
    <t xml:space="preserve">DFC: 'Aquisição de imobilizado/intangível' — parte que repõe o que se desgasta.</t>
  </si>
  <si>
    <t xml:space="preserve">DFC atividades de investimento; notas do imobilizado; NFs de compra.</t>
  </si>
  <si>
    <t xml:space="preserve">Pergunte ao vendedor quais investimentos foram adiados: manutenção postergada é custo seu depois.</t>
  </si>
  <si>
    <t xml:space="preserve">CAPEX de expansão</t>
  </si>
  <si>
    <t xml:space="preserve">DFC: mesma linha — parte que aumenta capacidade (máquina nova, filial).</t>
  </si>
  <si>
    <t xml:space="preserve">Idem.</t>
  </si>
  <si>
    <t xml:space="preserve">Separar manutenção de expansão exige conversa com a gestão e documentos.</t>
  </si>
  <si>
    <t xml:space="preserve">CAPEX total</t>
  </si>
  <si>
    <t xml:space="preserve">FLUXO DE CAIXA LIVRE</t>
  </si>
  <si>
    <t xml:space="preserve">FCL após juros = FCO − CAPEX</t>
  </si>
  <si>
    <t xml:space="preserve">Caixa que sobra depois de manter e expandir a operação e pagar juros — antes de amortizar principal.</t>
  </si>
  <si>
    <t xml:space="preserve">FCL antes dos juros = FCL + juros pagos</t>
  </si>
  <si>
    <t xml:space="preserve">Aproximação (o benefício fiscal dos juros não é revertido). Útil para comparar com o EBITDA.</t>
  </si>
  <si>
    <t xml:space="preserve">Conversão de caixa: FCL antes dos juros ÷ EBITDA contábil</t>
  </si>
  <si>
    <t xml:space="preserve">Conversão baixa indica lucro preso em giro/CAPEX ou EBITDA de baixa qualidade.</t>
  </si>
  <si>
    <t xml:space="preserve">PONTE INDIRETA — CONFERÊNCIA DO FCO (use quando não houver DFC)</t>
  </si>
  <si>
    <t xml:space="preserve">Lucro líquido (aba 1)</t>
  </si>
  <si>
    <t xml:space="preserve">→ LINK</t>
  </si>
  <si>
    <t xml:space="preserve">Vem da DRE.</t>
  </si>
  <si>
    <t xml:space="preserve">(+) Depreciação e amortização (aba 1)</t>
  </si>
  <si>
    <t xml:space="preserve">(−) Aumento da NCG (aba 2)</t>
  </si>
  <si>
    <t xml:space="preserve">Vem do Balanço.</t>
  </si>
  <si>
    <t xml:space="preserve">FCO estimado pela ponte</t>
  </si>
  <si>
    <t xml:space="preserve">Ponte simplificada: não capta itens como provisões, baixas e variação de impostos diferidos.</t>
  </si>
  <si>
    <t xml:space="preserve">   Diferença: FCO reportado − FCO estimado</t>
  </si>
  <si>
    <t xml:space="preserve">Diferença grande = investigar (provisões, baixa de ativos, parcelamentos, erros de classificação).</t>
  </si>
  <si>
    <t xml:space="preserve">CONFERÊNCIA DO IMOBILIZADO</t>
  </si>
  <si>
    <t xml:space="preserve">Imobilizado + intangível no início do ano</t>
  </si>
  <si>
    <t xml:space="preserve">(+) CAPEX (−) D&amp;A = saldo final esperado</t>
  </si>
  <si>
    <t xml:space="preserve">Saldo final no Balanço</t>
  </si>
  <si>
    <t xml:space="preserve">   Diferença (baixas, vendas ou reavaliações)</t>
  </si>
  <si>
    <t xml:space="preserve">Diferença sem explicação pode indicar CAPEX lançado como despesa (ou o contrário).</t>
  </si>
  <si>
    <t xml:space="preserve">4. Normalização — do EBITDA contábil ao SDE e ao EBITDA ajustado (R$ mil)</t>
  </si>
  <si>
    <t xml:space="preserve">Buy Then Build: 'compre pelo passado' — use o resultado comprovado, ponderando mais os anos recentes.</t>
  </si>
  <si>
    <t xml:space="preserve">Ajuste</t>
  </si>
  <si>
    <t xml:space="preserve">Média ponderada</t>
  </si>
  <si>
    <t xml:space="preserve">Explicação</t>
  </si>
  <si>
    <t xml:space="preserve">PONTE EBITDA CONTÁBIL → SDE</t>
  </si>
  <si>
    <t xml:space="preserve">EBITDA contábil (aba 1)</t>
  </si>
  <si>
    <t xml:space="preserve">Ponto de partida.</t>
  </si>
  <si>
    <t xml:space="preserve">(+) Remuneração do dono operador (aba 1)</t>
  </si>
  <si>
    <t xml:space="preserve">SDE soma de volta o que o dono se paga como operador — o comprador que vai operar recebe esse benefício.</t>
  </si>
  <si>
    <t xml:space="preserve">(+) Despesas pessoais comprovadas (aba 1)</t>
  </si>
  <si>
    <t xml:space="preserve">Só com comprovação.</t>
  </si>
  <si>
    <t xml:space="preserve">(+) Despesas não recorrentes (aba 1)</t>
  </si>
  <si>
    <t xml:space="preserve">Exija documento e motivo de não recorrência.</t>
  </si>
  <si>
    <t xml:space="preserve">(−) Ganhos não recorrentes (aba 1)</t>
  </si>
  <si>
    <t xml:space="preserve">Receita pontual não se repete com o novo dono.</t>
  </si>
  <si>
    <t xml:space="preserve">(−) Custos recorrentes faltantes (aluguel abaixo do mercado, manutenção adiada, salário não pago a familiar)</t>
  </si>
  <si>
    <t xml:space="preserve">Ajuste NEGATIVO frequentemente esquecido: ex. o imóvel é do dono e o aluguel é simbólico.</t>
  </si>
  <si>
    <t xml:space="preserve">SDE — Ganho Discricionário do Vendedor</t>
  </si>
  <si>
    <t xml:space="preserve">Benefício total, antes de impostos, para UM dono que trabalha na empresa. Não é dinheiro livre: faltam impostos, CAPEX, giro e dívida.</t>
  </si>
  <si>
    <t xml:space="preserve">   SDE ÷ receita líquida</t>
  </si>
  <si>
    <t xml:space="preserve">Referência do livro: em pequenas empresas o SDE costuma ficar entre 10% e 20% da receita.</t>
  </si>
  <si>
    <t xml:space="preserve">PONTE SDE → EBITDA AJUSTADO (empresa gerida por um executivo contratado)</t>
  </si>
  <si>
    <t xml:space="preserve">(−) Custo total de um gestor substituto (salário + encargos + benefícios)</t>
  </si>
  <si>
    <t xml:space="preserve">Quanto custaria contratar alguém para fazer o que o dono faz hoje. Se o dono acumula funções, pode ser mais de uma pessoa.</t>
  </si>
  <si>
    <t xml:space="preserve">EBITDA ajustado (normalizado)</t>
  </si>
  <si>
    <t xml:space="preserve">Métrica usada por search funds tradicionais (o searcher é CEO assalariado) e na maior parte dos múltiplos de mercado.</t>
  </si>
  <si>
    <t xml:space="preserve">   Margem EBITDA ajustada</t>
  </si>
  <si>
    <t xml:space="preserve">PESOS PARA A MÉDIA PONDERADA</t>
  </si>
  <si>
    <t xml:space="preserve">Peso de cada ano (a soma deve ser 100%)</t>
  </si>
  <si>
    <t xml:space="preserve">~ ESTIMATIVA</t>
  </si>
  <si>
    <t xml:space="preserve">Deibel recomenda calcular o próprio valor com uma média ponderada dos últimos 3 anos, pesando mais o ano recente. Os pesos são editáveis.</t>
  </si>
  <si>
    <t xml:space="preserve">   Soma dos pesos</t>
  </si>
  <si>
    <t xml:space="preserve">Deve ser 100%.</t>
  </si>
  <si>
    <t xml:space="preserve">5. Valuation — três métodos e ponte até o valor dos sócios (R$ mil)</t>
  </si>
  <si>
    <t xml:space="preserve">Múltiplo de SDE (Buy Then Build), múltiplo de EBITDA ajustado (search fund tradicional) e FCD (Damodaran).</t>
  </si>
  <si>
    <t xml:space="preserve">A. MÚLTIPLO DE SDE — método principal do Buy Then Build (comprador que opera a empresa)</t>
  </si>
  <si>
    <t xml:space="preserve">Item</t>
  </si>
  <si>
    <t xml:space="preserve">Base</t>
  </si>
  <si>
    <t xml:space="preserve">SDE ponderado (aba 4)</t>
  </si>
  <si>
    <t xml:space="preserve">Pague pelo resultado já comprovado, não pelo potencial.</t>
  </si>
  <si>
    <t xml:space="preserve">Múltiplo de SDE</t>
  </si>
  <si>
    <t xml:space="preserve">Referência EUA (Deibel): tipicamente 2,5x–4x SDE para negócios com menos de US$ 5 mi de valor. No Brasil, ajuste por juros mais altos e menor liquidez.</t>
  </si>
  <si>
    <t xml:space="preserve">Valor da empresa (EV) por SDE</t>
  </si>
  <si>
    <t xml:space="preserve">B. MÚLTIPLO DE EBITDA AJUSTADO — método dos search funds tradicionais (Stanford / IESE)</t>
  </si>
  <si>
    <t xml:space="preserve">EBITDA ajustado do último ano (aba 4)</t>
  </si>
  <si>
    <t xml:space="preserve">Search funds costumam usar o último ano (ou últimos 12 meses). Múltiplo de SDE não pode ser aplicado a EBITDA sem transformação.</t>
  </si>
  <si>
    <t xml:space="preserve">Múltiplo de EBITDA ajustado</t>
  </si>
  <si>
    <t xml:space="preserve">Medianas de search funds (ver tabela de referências abaixo) são para empresas maiores e em USD. PMEs brasileiras pequenas negociam abaixo.</t>
  </si>
  <si>
    <t xml:space="preserve">EV por EBITDA ajustado</t>
  </si>
  <si>
    <t xml:space="preserve">C. FLUXO DE CAIXA DESCONTADO (FCD) — FCFF, 5 anos + perpetuidade</t>
  </si>
  <si>
    <t xml:space="preserve">Premissa / linha</t>
  </si>
  <si>
    <t xml:space="preserve">Unidade</t>
  </si>
  <si>
    <t xml:space="preserve">2025 (real)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</si>
  <si>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</si>
  <si>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</si>
  <si>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</si>
  <si>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</si>
  <si>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</si>
  <si>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Ano de projeção (t)</t>
  </si>
  <si>
    <t xml:space="preserve">Crescimento da receita líquida</t>
  </si>
  <si>
    <t xml:space="preserve">%</t>
  </si>
  <si>
    <t xml:space="preserve">Premissa. Compare com o crescimento histórico (aba 1) e não inclua no preço o crescimento que VOCÊ vai gerar.</t>
  </si>
  <si>
    <t xml:space="preserve">D&amp;A em % da receita líquida</t>
  </si>
  <si>
    <t xml:space="preserve">CAPEX em % da receita líquida</t>
  </si>
  <si>
    <t xml:space="preserve">No longo prazo o CAPEX deve ser ≥ D&amp;A; do contrário a empresa está consumindo seus ativos.</t>
  </si>
  <si>
    <t xml:space="preserve">NCG em % da receita líquida</t>
  </si>
  <si>
    <t xml:space="preserve">IRPJ + CSLL sobre o EBIT (taxa operacional efetiva)</t>
  </si>
  <si>
    <t xml:space="preserve">Lucro Real: 24% até R$ 240 mil/ano de base e 34% sobre o excedente. Presumido/Simples: calcule a alíquota efetiva à parte.</t>
  </si>
  <si>
    <t xml:space="preserve">EBITDA ajustado</t>
  </si>
  <si>
    <t xml:space="preserve">(−) D&amp;A</t>
  </si>
  <si>
    <t xml:space="preserve">EBIT</t>
  </si>
  <si>
    <t xml:space="preserve">(−) IRPJ/CSLL operacionais</t>
  </si>
  <si>
    <t xml:space="preserve">(−) CAPEX</t>
  </si>
  <si>
    <t xml:space="preserve">Saldo de NCG</t>
  </si>
  <si>
    <t xml:space="preserve">(−) Aumento da NCG</t>
  </si>
  <si>
    <t xml:space="preserve">FCFF — fluxo de caixa livre para a firma</t>
  </si>
  <si>
    <t xml:space="preserve">FCFF = EBIT × (1 − t) + D&amp;A − CAPEX − ΔNCG. É o caixa para todos os financiadores, antes da dívida.</t>
  </si>
  <si>
    <t xml:space="preserve">Taxa de desconto (WACC) — construção 'build-up' para PME</t>
  </si>
  <si>
    <t xml:space="preserve">Taxa livre de risco nominal em R$ (título prefixado ~10 anos)</t>
  </si>
  <si>
    <t xml:space="preserve">Atualize com a taxa do Tesouro Prefixado de longo prazo na data da análise.</t>
  </si>
  <si>
    <t xml:space="preserve">Beta do setor (desalavancado ~1,0 se não houver referência)</t>
  </si>
  <si>
    <t xml:space="preserve">Damodaran publica betas por setor (mercados emergentes).</t>
  </si>
  <si>
    <t xml:space="preserve">Prêmio de risco de mercado (ações)</t>
  </si>
  <si>
    <t xml:space="preserve">Premissa de mercado; ver Damodaran.</t>
  </si>
  <si>
    <t xml:space="preserve">Prêmio de tamanho / iliquidez (PME)</t>
  </si>
  <si>
    <t xml:space="preserve">Empresas pequenas e fechadas exigem retorno maior.</t>
  </si>
  <si>
    <t xml:space="preserve">Prêmio de risco específico (dependência do dono, concentração)</t>
  </si>
  <si>
    <t xml:space="preserve">Use a aba 8 (Qualidade) para calibrar.</t>
  </si>
  <si>
    <t xml:space="preserve">Custo do capital próprio (Ke)</t>
  </si>
  <si>
    <t xml:space="preserve">Custo da dívida antes de impostos (Kd)</t>
  </si>
  <si>
    <t xml:space="preserve">Taxa de uma linha de crédito de aquisição/capital de giro para a empresa.</t>
  </si>
  <si>
    <t xml:space="preserve">Alíquota do benefício fiscal dos juros</t>
  </si>
  <si>
    <t xml:space="preserve">Lucro Real com adicional. Presumido/Simples: juros não reduzem imposto → use 0%.</t>
  </si>
  <si>
    <t xml:space="preserve">Peso da dívida na estrutura de capital D/(D+E)</t>
  </si>
  <si>
    <t xml:space="preserve">Estrutura-alvo de longo prazo, não necessariamente a do fechamento.</t>
  </si>
  <si>
    <t xml:space="preserve">WACC</t>
  </si>
  <si>
    <t xml:space="preserve">Crescimento na perpetuidade (g), nominal</t>
  </si>
  <si>
    <t xml:space="preserve">Não deve superar o crescimento nominal da economia no longo prazo (inflação + PIB real).</t>
  </si>
  <si>
    <t xml:space="preserve">Fator de desconto</t>
  </si>
  <si>
    <t xml:space="preserve">Valor presente do FCFF</t>
  </si>
  <si>
    <t xml:space="preserve">Soma dos VP dos fluxos (2026–2030)</t>
  </si>
  <si>
    <t xml:space="preserve">Valor terminal em 2030 = FCFF₂₀₃₀ × (1 + g) ÷ (WACC − g)</t>
  </si>
  <si>
    <t xml:space="preserve">Se WACC ≤ g a fórmula não vale (a planilha devolve zero).</t>
  </si>
  <si>
    <t xml:space="preserve">VP do valor terminal</t>
  </si>
  <si>
    <t xml:space="preserve">   % do EV que vem da perpetuidade</t>
  </si>
  <si>
    <t xml:space="preserve">Acima de ~70% o valor depende muito de premissas distantes: dê mais peso aos múltiplos.</t>
  </si>
  <si>
    <t xml:space="preserve">   EV do FCD ÷ EBITDA ajustado 2025 (múltiplo implícito)</t>
  </si>
  <si>
    <t xml:space="preserve">Sensibilidade do EV pelo FCD — WACC (linhas) × g (colunas)</t>
  </si>
  <si>
    <t xml:space="preserve">WACC \ g</t>
  </si>
  <si>
    <t xml:space="preserve">D. EV PONDERADO E FAIXA DE VALOR</t>
  </si>
  <si>
    <t xml:space="preserve">Método</t>
  </si>
  <si>
    <t xml:space="preserve">Peso</t>
  </si>
  <si>
    <t xml:space="preserve">FCD (faixa = WACC ±2 p.p.)</t>
  </si>
  <si>
    <t xml:space="preserve">Pesos-padrão iguais aos da ferramenta IBGESF: 60% FCD + 40% múltiplos. Ajuste conforme a qualidade dos dados.</t>
  </si>
  <si>
    <t xml:space="preserve">EV ponderado</t>
  </si>
  <si>
    <t xml:space="preserve">E. PONTE: VALOR DA EMPRESA (EV) → VALOR DOS SÓCIOS (EQUITY)</t>
  </si>
  <si>
    <t xml:space="preserve">Onde encontrar / explicação</t>
  </si>
  <si>
    <t xml:space="preserve">EV ponderado (central)</t>
  </si>
  <si>
    <t xml:space="preserve">(−) Dívida bruta em 31/12/2025 (aba 2)</t>
  </si>
  <si>
    <t xml:space="preserve">Empréstimos, financiamentos, parcelamentos e itens equivalentes a dívida.</t>
  </si>
  <si>
    <t xml:space="preserve">(+) Caixa em 31/12/2025 (aba 2)</t>
  </si>
  <si>
    <t xml:space="preserve">(−) Caixa mínimo operacional / caixa restrito (não elegível)</t>
  </si>
  <si>
    <t xml:space="preserve">Caixa que precisa ficar na empresa para ela funcionar não é 'bônus' para o vendedor.</t>
  </si>
  <si>
    <t xml:space="preserve">NCG normal combinada (meta de capital de giro)</t>
  </si>
  <si>
    <t xml:space="preserve">Negociada no contrato; em geral a média dos últimos 12 meses.</t>
  </si>
  <si>
    <t xml:space="preserve">(+/−) Ajuste de NCG = NCG entregue − NCG normal</t>
  </si>
  <si>
    <t xml:space="preserve">Se o vendedor entrega menos capital de giro que o normal, o preço cai. Não some estoque/recebíveis ao preço de novo.</t>
  </si>
  <si>
    <t xml:space="preserve">(−) Contingências e passivos identificados na diligência</t>
  </si>
  <si>
    <t xml:space="preserve">Trabalhistas, fiscais, cíveis. Não conte a mesma obrigação como dívida e como contingência.</t>
  </si>
  <si>
    <t xml:space="preserve">Valor dos sócios (equity value)</t>
  </si>
  <si>
    <t xml:space="preserve">F. REFERÊNCIAS DE MERCADO (EUA e Espanha/internacional) — use como teto, não como alvo</t>
  </si>
  <si>
    <t xml:space="preserve">Fonte</t>
  </si>
  <si>
    <t xml:space="preserve">Região</t>
  </si>
  <si>
    <t xml:space="preserve">Métrica</t>
  </si>
  <si>
    <t xml:space="preserve">Valor</t>
  </si>
  <si>
    <t xml:space="preserve">Observação</t>
  </si>
  <si>
    <t xml:space="preserve">Stanford GSB — Search Fund Study 2024</t>
  </si>
  <si>
    <t xml:space="preserve">EUA/Canadá</t>
  </si>
  <si>
    <t xml:space="preserve">EV/EBITDA mediano</t>
  </si>
  <si>
    <t xml:space="preserve">Compra mediana US$ 14,4 mi; EBITDA mediano US$ 2,2 mi; margem 27%.</t>
  </si>
  <si>
    <t xml:space="preserve">Stanford GSB — Search Fund Study 2026 (aquisições 2024–25)</t>
  </si>
  <si>
    <t xml:space="preserve">Compra mediana US$ 16 mi; EBITDA mediano US$ 2,5 mi.</t>
  </si>
  <si>
    <t xml:space="preserve">IESE — International Search Funds 2024</t>
  </si>
  <si>
    <t xml:space="preserve">Internacional (Espanha lidera na Europa)</t>
  </si>
  <si>
    <t xml:space="preserve">Compra mediana US$ 11,7 mi; receita US$ 7,8 mi; margem 24%; 1,4x receita.</t>
  </si>
  <si>
    <t xml:space="preserve">Mercado espanhol (bancos com área de search fund)</t>
  </si>
  <si>
    <t xml:space="preserve">Espanha</t>
  </si>
  <si>
    <t xml:space="preserve">Dívida sênior / EBITDA</t>
  </si>
  <si>
    <t xml:space="preserve">Faixa típica 2x–3x EBITDA; complemento com 'pagaré del vendedor' (seller note).</t>
  </si>
  <si>
    <t xml:space="preserve">Walker Deibel — Buy Then Build</t>
  </si>
  <si>
    <t xml:space="preserve">EUA (Main Street)</t>
  </si>
  <si>
    <t xml:space="preserve">EV/SDE típico</t>
  </si>
  <si>
    <t xml:space="preserve">Faixa de 2,5x–4x SDE para negócios abaixo de US$ 5 mi; financiamento SBA com 10% de entrada.</t>
  </si>
  <si>
    <t xml:space="preserve">Valores de referência pesquisados em set/2026 (fontes na aba 9). Não entram nos cálculos. Empresas brasileiras menores, com juros mais altos e maior dependência do dono, tendem a múltiplos menores.</t>
  </si>
  <si>
    <t xml:space="preserve">6. Estrutura da aquisição — oferta, fontes e usos, dívida e DSCR (R$ mil)</t>
  </si>
  <si>
    <t xml:space="preserve">Pergunta central do livro: o negócio paga a dívida mesmo se as coisas piorarem?</t>
  </si>
  <si>
    <t xml:space="preserve">A. OFERTA</t>
  </si>
  <si>
    <t xml:space="preserve">EBITDA ajustado 2025 (aba 4)</t>
  </si>
  <si>
    <t xml:space="preserve">Múltiplo de EBITDA da oferta</t>
  </si>
  <si>
    <t xml:space="preserve">Compare com a faixa da aba 5. Negocie a economia completa, não só o múltiplo.</t>
  </si>
  <si>
    <t xml:space="preserve">   Múltiplo de SDE implícito (EV ÷ SDE 2025)</t>
  </si>
  <si>
    <t xml:space="preserve">(−) Dívida existente quitada no fechamento (aba 2)</t>
  </si>
  <si>
    <t xml:space="preserve">(+) Caixa elegível entregue (aba 5)</t>
  </si>
  <si>
    <t xml:space="preserve">(+/−) Ajuste de NCG e (−) contingências (aba 5)</t>
  </si>
  <si>
    <t xml:space="preserve">Preço pago aos vendedores (equity)</t>
  </si>
  <si>
    <t xml:space="preserve">B. FONTES E USOS NO FECHAMENTO</t>
  </si>
  <si>
    <t xml:space="preserve">Usos</t>
  </si>
  <si>
    <t xml:space="preserve">R$ mil</t>
  </si>
  <si>
    <t xml:space="preserve">% total</t>
  </si>
  <si>
    <t xml:space="preserve">Pagamento aos vendedores</t>
  </si>
  <si>
    <t xml:space="preserve">Quitação da dívida antiga</t>
  </si>
  <si>
    <t xml:space="preserve">Custos da transação (assessores, advogados, diligência)</t>
  </si>
  <si>
    <t xml:space="preserve">Tipicamente 3%–6% do EV em PMEs.</t>
  </si>
  <si>
    <t xml:space="preserve">Reforço de caixa / capital de giro inicial</t>
  </si>
  <si>
    <t xml:space="preserve">Deibel: especialmente com dívida alta, reserve caixa para meses ruins.</t>
  </si>
  <si>
    <t xml:space="preserve">Total de usos</t>
  </si>
  <si>
    <t xml:space="preserve">Fontes</t>
  </si>
  <si>
    <t xml:space="preserve">Dívida sênior (banco)</t>
  </si>
  <si>
    <t xml:space="preserve">No Brasil, linhas para aquisição exigem garantias; o SBA americano (10% de entrada) não tem equivalente direto.</t>
  </si>
  <si>
    <t xml:space="preserve">Seller note — parcela financiada pelo vendedor</t>
  </si>
  <si>
    <t xml:space="preserve">Search funds: 10%–25% do capital de aquisição é comum. Alinha o vendedor ao sucesso da transição.</t>
  </si>
  <si>
    <t xml:space="preserve">Capital próprio necessário (= usos − dívidas)</t>
  </si>
  <si>
    <t xml:space="preserve">   do qual: aporte do searcher / comprador</t>
  </si>
  <si>
    <t xml:space="preserve">Search fund tradicional: o searcher normalmente não aporta caixa; ganha participação por desempenho (aba 7).</t>
  </si>
  <si>
    <t xml:space="preserve">   do qual: investidores</t>
  </si>
  <si>
    <t xml:space="preserve">Total de fontes</t>
  </si>
  <si>
    <t xml:space="preserve">   Conferência: fontes − usos (deve ser zero)</t>
  </si>
  <si>
    <t xml:space="preserve">Alavancagem: dívida de aquisição ÷ EBITDA ajustado</t>
  </si>
  <si>
    <t xml:space="preserve">Referência Espanha: dívida sênior de 2x–3x EBITDA. EUA (search funds): dívida total em torno de 50%–60% do preço.</t>
  </si>
  <si>
    <t xml:space="preserve">C. CONDIÇÕES DA DÍVIDA E PREMISSAS TRIBUTÁRIAS</t>
  </si>
  <si>
    <t xml:space="preserve">Dívida sênior — taxa de juros anual</t>
  </si>
  <si>
    <t xml:space="preserve">Dívida sênior — prazo de amortização (anos, parcelas iguais de principal)</t>
  </si>
  <si>
    <t xml:space="preserve">Seller note — taxa de juros anual</t>
  </si>
  <si>
    <t xml:space="preserve">Seller note — prazo total (anos)</t>
  </si>
  <si>
    <t xml:space="preserve">Seller note — carência de principal (anos)</t>
  </si>
  <si>
    <t xml:space="preserve">Carência alivia o DSCR nos primeiros anos, quando a transição é mais arriscada.</t>
  </si>
  <si>
    <t xml:space="preserve">IRPJ — alíquota básica</t>
  </si>
  <si>
    <t xml:space="preserve">IRPJ — adicional sobre a base acima do limite</t>
  </si>
  <si>
    <t xml:space="preserve">Limite anual da base para o adicional (R$ mil)</t>
  </si>
  <si>
    <t xml:space="preserve">R$ 20 mil por mês × 12. Premissa de Lucro Real anual.</t>
  </si>
  <si>
    <t xml:space="preserve">CSLL</t>
  </si>
  <si>
    <t xml:space="preserve">DSCR mínimo desejado (sua regra ou do banco)</t>
  </si>
  <si>
    <t xml:space="preserve">1,0 = cobertura exata, sem folga. Não é regra de aprovação universal; depende do credor e do risco.</t>
  </si>
  <si>
    <t xml:space="preserve">D. ANO-BASE PRO FORMA (2025 com a nova estrutura de capital) — conferência com o guia</t>
  </si>
  <si>
    <t xml:space="preserve">EBITDA ajustado 2025</t>
  </si>
  <si>
    <t xml:space="preserve">(−) D&amp;A 2025</t>
  </si>
  <si>
    <t xml:space="preserve">(−) Juros da nova dívida (1º ano)</t>
  </si>
  <si>
    <t xml:space="preserve">Base de IRPJ/CSLL (simplificação: lucro contábil)</t>
  </si>
  <si>
    <t xml:space="preserve">(−) IRPJ + CSLL</t>
  </si>
  <si>
    <t xml:space="preserve">Calculado pelo Lucro Real, e não pelos 34% genéricos.</t>
  </si>
  <si>
    <t xml:space="preserve">(−) CAPEX 2025</t>
  </si>
  <si>
    <t xml:space="preserve">(−) Aumento da NCG 2025</t>
  </si>
  <si>
    <t xml:space="preserve">Caixa disponível para a dívida</t>
  </si>
  <si>
    <t xml:space="preserve">Numerador do DSCR: caixa após impostos pagos, CAPEX e NCG, antes de juros e amortização.</t>
  </si>
  <si>
    <t xml:space="preserve">Amortização de principal no 1º ano</t>
  </si>
  <si>
    <t xml:space="preserve">Serviço da dívida (juros + principal)</t>
  </si>
  <si>
    <t xml:space="preserve">DSCR pro forma</t>
  </si>
  <si>
    <t xml:space="preserve">Caixa após o serviço da dívida</t>
  </si>
  <si>
    <t xml:space="preserve">Cash-on-cash do capital próprio (1º ano)</t>
  </si>
  <si>
    <t xml:space="preserve">Mede um único período; não considera a valorização nem a amortização da dívida (que aumenta o patrimônio).</t>
  </si>
  <si>
    <t xml:space="preserve">E. TESTE DE ESTRESSE — quanto a receita pode cair antes de a dívida ficar impagável?</t>
  </si>
  <si>
    <t xml:space="preserve">Queda de receita simulada</t>
  </si>
  <si>
    <t xml:space="preserve">O livro mostra um exemplo que suporta ~37% de queda; o caso deste guia é bem mais frágil.</t>
  </si>
  <si>
    <t xml:space="preserve">Custo variável: custo dos serviços em % da receita líquida (2025)</t>
  </si>
  <si>
    <t xml:space="preserve">Despesas fixas normalizadas (mantidas)</t>
  </si>
  <si>
    <t xml:space="preserve">Igual a lucro bruto 2025 − EBITDA ajustado 2025. Hipótese conservadora: nenhuma despesa é cortada.</t>
  </si>
  <si>
    <t xml:space="preserve">Receita líquida estressada</t>
  </si>
  <si>
    <t xml:space="preserve">EBITDA estressado</t>
  </si>
  <si>
    <t xml:space="preserve">(−) IRPJ + CSLL estressados</t>
  </si>
  <si>
    <t xml:space="preserve">Caixa disponível para a dívida (CAPEX e NCG mantidos)</t>
  </si>
  <si>
    <t xml:space="preserve">DSCR no estresse</t>
  </si>
  <si>
    <t xml:space="preserve">Caixa após dívida no estresse</t>
  </si>
  <si>
    <t xml:space="preserve">Ponto de ruptura. Supõe base tributável abaixo do limite do adicional. Negativo = já não cobre hoje.</t>
  </si>
  <si>
    <t xml:space="preserve">Queda de receita que leva o DSCR ao mínimo desejado</t>
  </si>
  <si>
    <t xml:space="preserve">F. CRONOGRAMA DA DÍVIDA E DSCR PROJETADO (usa a projeção da aba 5)</t>
  </si>
  <si>
    <t xml:space="preserve">Fechamento</t>
  </si>
  <si>
    <t xml:space="preserve">Ano após o fechamento</t>
  </si>
  <si>
    <t xml:space="preserve">Dívida sênior — saldo inicial</t>
  </si>
  <si>
    <t xml:space="preserve">   Juros</t>
  </si>
  <si>
    <t xml:space="preserve">   Amortização</t>
  </si>
  <si>
    <t xml:space="preserve">   Saldo final</t>
  </si>
  <si>
    <t xml:space="preserve">Seller note — saldo inicial</t>
  </si>
  <si>
    <t xml:space="preserve">   Amortização (após a carência)</t>
  </si>
  <si>
    <t xml:space="preserve">Serviço da dívida total</t>
  </si>
  <si>
    <t xml:space="preserve">EBITDA ajustado projetado (aba 5)</t>
  </si>
  <si>
    <t xml:space="preserve">(−) IRPJ + CSLL (Lucro Real, após juros)</t>
  </si>
  <si>
    <t xml:space="preserve">(−) CAPEX (aba 5)</t>
  </si>
  <si>
    <t xml:space="preserve">(−) Aumento da NCG (aba 5)</t>
  </si>
  <si>
    <t xml:space="preserve">DSCR</t>
  </si>
  <si>
    <t xml:space="preserve">Caixa após serviço da dívida</t>
  </si>
  <si>
    <t xml:space="preserve">Caixa acumulado (sem distribuições)</t>
  </si>
  <si>
    <t xml:space="preserve">Começa com o caixa elegível adquirido + reforço de caixa.</t>
  </si>
  <si>
    <t xml:space="preserve">Cash-on-cash do capital próprio</t>
  </si>
  <si>
    <t xml:space="preserve">7. Retorno — investidores do search fund, searcher e comprador-operador (R$ mil)</t>
  </si>
  <si>
    <t xml:space="preserve">Saída ilustrativa no ano 5 (2030). Estrutura típica: investidores com preferencial participativa; searcher com até 25% das ações ordinárias.</t>
  </si>
  <si>
    <t xml:space="preserve">A. PREMISSAS DE SAÍDA E DO SEARCH FUND</t>
  </si>
  <si>
    <t xml:space="preserve">Anos até a saída</t>
  </si>
  <si>
    <t xml:space="preserve">Fixo em 5 anos (horizonte da projeção). Search funds costumam manter 5–7 anos.</t>
  </si>
  <si>
    <t xml:space="preserve">Múltiplo de EBITDA na saída</t>
  </si>
  <si>
    <t xml:space="preserve">Conservador: igual ao de entrada. Ganho de múltiplo (empresa maior e mais profissional) é bônus, não premissa.</t>
  </si>
  <si>
    <t xml:space="preserve">Custos de venda (% do EV)</t>
  </si>
  <si>
    <t xml:space="preserve">Capital de busca investido antes da aquisição</t>
  </si>
  <si>
    <t xml:space="preserve">Salário e despesas do searcher durante ~2 anos de busca.</t>
  </si>
  <si>
    <t xml:space="preserve">Step-up do capital de busca</t>
  </si>
  <si>
    <t xml:space="preserve">Stanford Primer: o capital de busca converte em ações da aquisição a ~150% do valor aportado.</t>
  </si>
  <si>
    <t xml:space="preserve">Retorno preferencial dos investidores (a.a.)</t>
  </si>
  <si>
    <t xml:space="preserve">Ações preferenciais participativas com retorno acumulado de ~6%–8% a.a. antes das ordinárias.</t>
  </si>
  <si>
    <t xml:space="preserve">Participação do searcher nas ações ordinárias</t>
  </si>
  <si>
    <t xml:space="preserve">Até 25% (solo) ou 30% (dupla), em 3 tranches: fechamento, tempo (4–5 anos) e desempenho (TIR dos investidores de 20% a 35%).</t>
  </si>
  <si>
    <t xml:space="preserve">% da participação efetivamente adquirida (vesting)</t>
  </si>
  <si>
    <t xml:space="preserve">Reduza se a TIR dos investidores ficar abaixo de 20% — a 3ª tranche não vesta.</t>
  </si>
  <si>
    <t xml:space="preserve">B. VALOR NA SAÍDA</t>
  </si>
  <si>
    <t xml:space="preserve">EBITDA ajustado 2030 (aba 5)</t>
  </si>
  <si>
    <t xml:space="preserve">EV na saída</t>
  </si>
  <si>
    <t xml:space="preserve">(−) Custos de venda</t>
  </si>
  <si>
    <t xml:space="preserve">(−) Dívida remanescente em 2030 (aba 6)</t>
  </si>
  <si>
    <t xml:space="preserve">(+) Caixa acumulado em 2030 (aba 6)</t>
  </si>
  <si>
    <t xml:space="preserve">Valor dos sócios na saída</t>
  </si>
  <si>
    <t xml:space="preserve">C. CASCATA DE DISTRIBUIÇÃO (search fund tradicional)</t>
  </si>
  <si>
    <t xml:space="preserve">Capital de aquisição dos investidores (aba 6)</t>
  </si>
  <si>
    <t xml:space="preserve">Base preferencial = capital de aquisição + capital de busca × step-up</t>
  </si>
  <si>
    <t xml:space="preserve">Preferencial devida na saída = base × (1 + retorno pref.)^anos</t>
  </si>
  <si>
    <t xml:space="preserve">1º — pago aos investidores (preferencial)</t>
  </si>
  <si>
    <t xml:space="preserve">Saldo para as ações ordinárias</t>
  </si>
  <si>
    <t xml:space="preserve">2º — searcher (participação × vesting)</t>
  </si>
  <si>
    <t xml:space="preserve">2º — investidores (restante das ordinárias)</t>
  </si>
  <si>
    <t xml:space="preserve">Total recebido pelos investidores</t>
  </si>
  <si>
    <t xml:space="preserve">Caixa investido pelos investidores (aquisição + busca)</t>
  </si>
  <si>
    <t xml:space="preserve">MOIC dos investidores</t>
  </si>
  <si>
    <t xml:space="preserve">Aproximação: um aporte no fechamento e um recebimento na saída. Como o capital de busca entra ~2 anos antes, a TIR real é menor.</t>
  </si>
  <si>
    <t xml:space="preserve">Leitura da TIR em relação às faixas de vesting (20% a 35%)</t>
  </si>
  <si>
    <t xml:space="preserve">D. VISÃO DO COMPRADOR-OPERADOR (Buy Then Build, sem investidores externos)</t>
  </si>
  <si>
    <t xml:space="preserve">Capital próprio aportado (aba 6)</t>
  </si>
  <si>
    <t xml:space="preserve">MOIC do capital próprio (valor dos sócios na saída ÷ aporte)</t>
  </si>
  <si>
    <t xml:space="preserve">TIR aproximada</t>
  </si>
  <si>
    <t xml:space="preserve">Retorno do capital. O salário do dono-gestor é remuneração do trabalho e deve ser analisado à parte.</t>
  </si>
  <si>
    <t xml:space="preserve">Cash-on-cash no 1º ano (aba 6)</t>
  </si>
  <si>
    <t xml:space="preserve">Todos os retornos são antes de impostos na distribuição e na pessoa física do investidor.</t>
  </si>
  <si>
    <t xml:space="preserve">8. Qualidade do resultado — riscos que o múltiplo não mostra</t>
  </si>
  <si>
    <t xml:space="preserve">Não existe corte universal: os limites em azul são seus critérios. Use para calibrar o prêmio de risco específico (aba 5).</t>
  </si>
  <si>
    <t xml:space="preserve">A. CONCENTRAÇÃO E RECORRÊNCIA</t>
  </si>
  <si>
    <t xml:space="preserve">Seu limite</t>
  </si>
  <si>
    <t xml:space="preserve">Situação</t>
  </si>
  <si>
    <t xml:space="preserve">Onde encontrar / como calcular</t>
  </si>
  <si>
    <t xml:space="preserve">Maior cliente ÷ receita total</t>
  </si>
  <si>
    <t xml:space="preserve">Relatório de faturamento por cliente (ERP) do mesmo período da DRE. Agrupe empresas do mesmo grupo econômico.</t>
  </si>
  <si>
    <t xml:space="preserve">5 maiores clientes ÷ receita total</t>
  </si>
  <si>
    <t xml:space="preserve">Idem. Teste: se perder o maior cliente, o EBITDA cai mais que proporcionalmente (custos fixos).</t>
  </si>
  <si>
    <t xml:space="preserve">Maior fornecedor ÷ compras totais</t>
  </si>
  <si>
    <t xml:space="preserve">Relatório de compras. Complemente com criticidade, exclusividade e prazo de substituição.</t>
  </si>
  <si>
    <t xml:space="preserve">Receita recorrente (contratual) ÷ receita total</t>
  </si>
  <si>
    <t xml:space="preserve">Contratos vigentes, MRR/ARR. Compras repetidas sem contrato devem ser separadas.</t>
  </si>
  <si>
    <t xml:space="preserve">Cancelamento anual de clientes / receita (churn)</t>
  </si>
  <si>
    <t xml:space="preserve">Base de clientes por safra; cancelamentos e não renovações.</t>
  </si>
  <si>
    <t xml:space="preserve">B. PESSOAS</t>
  </si>
  <si>
    <t xml:space="preserve">Número de funcionários (na data-base)</t>
  </si>
  <si>
    <t xml:space="preserve">Folha de pagamento / eSocial. Registre a data.</t>
  </si>
  <si>
    <t xml:space="preserve">FTE (equivalentes em tempo integral)</t>
  </si>
  <si>
    <t xml:space="preserve">Horas contratadas ÷ horas de uma jornada integral. Inclua prestadores relevantes.</t>
  </si>
  <si>
    <t xml:space="preserve">Receita líquida 2025 por FTE (R$ mil)</t>
  </si>
  <si>
    <t xml:space="preserve">C. INDEPENDÊNCIA OPERACIONAL EM RELAÇÃO AO DONO (0 = sem substituto; 1 = substituto parcial; 2 = substituto treinado + processo documentado)</t>
  </si>
  <si>
    <t xml:space="preserve">Função</t>
  </si>
  <si>
    <t xml:space="preserve">Nota (0–2)</t>
  </si>
  <si>
    <t xml:space="preserve">Evidência</t>
  </si>
  <si>
    <t xml:space="preserve">Vendas e relacionamento com os principais clientes</t>
  </si>
  <si>
    <t xml:space="preserve">Entrevista com a equipe; teste: a função funciona com o dono ausente por 2 semanas?</t>
  </si>
  <si>
    <t xml:space="preserve">Entrega / operação técnica</t>
  </si>
  <si>
    <t xml:space="preserve">Compras e fornecedores críticos</t>
  </si>
  <si>
    <t xml:space="preserve">Financeiro, bancos e caixa</t>
  </si>
  <si>
    <t xml:space="preserve">Precificação e propostas</t>
  </si>
  <si>
    <t xml:space="preserve">Contratação e gestão de pessoas</t>
  </si>
  <si>
    <t xml:space="preserve">Média</t>
  </si>
  <si>
    <t xml:space="preserve">Pior nota (uma dependência crítica basta)</t>
  </si>
  <si>
    <t xml:space="preserve">Uma média boa pode esconder uma função 100% dependente do dono. Mitigação: período de transição remunerado, seller note, earn-out.</t>
  </si>
  <si>
    <t xml:space="preserve">Nº de funções sem substituto (nota 0)</t>
  </si>
  <si>
    <t xml:space="preserve">9. Glossário, fórmulas e fontes</t>
  </si>
  <si>
    <t xml:space="preserve">Siglas em português com a sigla original entre parênteses.</t>
  </si>
  <si>
    <t xml:space="preserve">Termo</t>
  </si>
  <si>
    <t xml:space="preserve">Definição / fórmula</t>
  </si>
  <si>
    <t xml:space="preserve">Onde aparece</t>
  </si>
  <si>
    <t xml:space="preserve">DRE</t>
  </si>
  <si>
    <t xml:space="preserve">Demonstração do Resultado do Exercício: receitas e despesas de um período (competência).</t>
  </si>
  <si>
    <t xml:space="preserve">Aba 1</t>
  </si>
  <si>
    <t xml:space="preserve">DFC</t>
  </si>
  <si>
    <t xml:space="preserve">Demonstrativo de Fluxo de Caixa: entradas e saídas de caixa (operacional, investimento, financiamento).</t>
  </si>
  <si>
    <t xml:space="preserve">Aba 3</t>
  </si>
  <si>
    <t xml:space="preserve">EBITDA</t>
  </si>
  <si>
    <t xml:space="preserve">Lucro antes de juros, impostos, depreciação e amortização = EBIT + D&amp;A.</t>
  </si>
  <si>
    <t xml:space="preserve">Abas 1, 4, 5</t>
  </si>
  <si>
    <t xml:space="preserve">EBITDA contábil + despesas excluídas justificadas − ganhos não recorrentes − custos recorrentes faltantes (e com o custo de um gestor substituto).</t>
  </si>
  <si>
    <t xml:space="preserve">Aba 4</t>
  </si>
  <si>
    <t xml:space="preserve">Seller's Discretionary Earnings = EBITDA + remuneração de UM dono operador + despesas pessoais comprovadas + não recorrentes − ganhos não recorrentes.</t>
  </si>
  <si>
    <t xml:space="preserve">NCG — Necessidade de Capital de Giro</t>
  </si>
  <si>
    <t xml:space="preserve">Contas a receber + estoques + outros ativos operacionais − fornecedores − outros passivos operacionais.</t>
  </si>
  <si>
    <t xml:space="preserve">Aba 2</t>
  </si>
  <si>
    <t xml:space="preserve">FCO — Fluxo de Caixa Operacional</t>
  </si>
  <si>
    <t xml:space="preserve">Caixa gerado pelas operações. Ponte indireta: lucro líquido + D&amp;A − aumento da NCG (± outros ajustes).</t>
  </si>
  <si>
    <t xml:space="preserve">Investimento em ativos fixos e intangíveis. Separar manutenção de expansão.</t>
  </si>
  <si>
    <t xml:space="preserve">FCL — Fluxo de Caixa Livre</t>
  </si>
  <si>
    <t xml:space="preserve">FCO − CAPEX (após juros, se os juros estiverem no FCO).</t>
  </si>
  <si>
    <t xml:space="preserve">FCFF</t>
  </si>
  <si>
    <t xml:space="preserve">Fluxo de caixa livre para a firma = EBIT × (1 − t) + D&amp;A − CAPEX − ΔNCG. Base do FCD.</t>
  </si>
  <si>
    <t xml:space="preserve">Aba 5</t>
  </si>
  <si>
    <t xml:space="preserve">FCD — Fluxo de Caixa Descontado</t>
  </si>
  <si>
    <t xml:space="preserve">EV = Σ FCFF_t / (1 + WACC)^t + valor terminal descontado.</t>
  </si>
  <si>
    <t xml:space="preserve">Custo médio ponderado de capital = E/(D+E) × Ke + D/(D+E) × Kd × (1 − t).</t>
  </si>
  <si>
    <t xml:space="preserve">EV — Valor da Empresa</t>
  </si>
  <si>
    <t xml:space="preserve">Valor da operação, livre de caixa e dívida (cash-free, debt-free).</t>
  </si>
  <si>
    <t xml:space="preserve">Abas 5, 6</t>
  </si>
  <si>
    <t xml:space="preserve">EV − dívida + caixa elegível ± ajuste de NCG − contingências.</t>
  </si>
  <si>
    <t xml:space="preserve">DSCR — Cobertura do Serviço da Dívida</t>
  </si>
  <si>
    <t xml:space="preserve">Caixa disponível para a dívida ÷ (juros + amortização). 1,0x = cobertura exata.</t>
  </si>
  <si>
    <t xml:space="preserve">Aba 6</t>
  </si>
  <si>
    <t xml:space="preserve">Seller note</t>
  </si>
  <si>
    <t xml:space="preserve">Parte do preço financiada pelo vendedor, paga em parcelas após o fechamento.</t>
  </si>
  <si>
    <t xml:space="preserve">Earn-out</t>
  </si>
  <si>
    <t xml:space="preserve">Parcela do preço condicionada a metas futuras. Exige métricas e regras de cálculo claras.</t>
  </si>
  <si>
    <t xml:space="preserve">—</t>
  </si>
  <si>
    <t xml:space="preserve">Search fund (tradicional)</t>
  </si>
  <si>
    <t xml:space="preserve">Veículo em que um empreendedor capta recursos de investidores para buscar, comprar e operar uma empresa (modelo criado em Stanford, 1984).</t>
  </si>
  <si>
    <t xml:space="preserve">Abas 6, 7</t>
  </si>
  <si>
    <t xml:space="preserve">Self-funded search / Buy Then Build</t>
  </si>
  <si>
    <t xml:space="preserve">Busca financiada pelo próprio comprador; aquisição com dívida, vendedor e capital próprio. Métrica típica: SDE.</t>
  </si>
  <si>
    <t xml:space="preserve">Abas 4, 7</t>
  </si>
  <si>
    <t xml:space="preserve">Step-up</t>
  </si>
  <si>
    <t xml:space="preserve">Conversão do capital de busca em ações da aquisição com prêmio (~1,5x).</t>
  </si>
  <si>
    <t xml:space="preserve">Aba 7</t>
  </si>
  <si>
    <t xml:space="preserve">Preferencial participativa</t>
  </si>
  <si>
    <t xml:space="preserve">Investidores recebem primeiro capital + retorno preferencial e depois participam das ordinárias.</t>
  </si>
  <si>
    <t xml:space="preserve">MOIC</t>
  </si>
  <si>
    <t xml:space="preserve">Múltiplo do capital investido = recebimentos totais ÷ capital investido. Ignora o tempo.</t>
  </si>
  <si>
    <t xml:space="preserve">TIR</t>
  </si>
  <si>
    <t xml:space="preserve">Taxa interna de retorno: considera as datas dos fluxos.</t>
  </si>
  <si>
    <t xml:space="preserve">Cash-on-cash</t>
  </si>
  <si>
    <t xml:space="preserve">Caixa distribuível no ano ÷ capital próprio aportado.</t>
  </si>
  <si>
    <t xml:space="preserve">LOI</t>
  </si>
  <si>
    <t xml:space="preserve">Carta de intenções: termos centrais antes dos contratos definitivos.</t>
  </si>
  <si>
    <t xml:space="preserve">FONTES METODOLÓGICAS E DE REFERÊNCIA (pesquisa em set/2026)</t>
  </si>
  <si>
    <t xml:space="preserve">O que usar dela</t>
  </si>
  <si>
    <t xml:space="preserve">Link</t>
  </si>
  <si>
    <t xml:space="preserve">Walker Deibel — Buy Then Build (2018)</t>
  </si>
  <si>
    <t xml:space="preserve">Método de SDE ponderado dos últimos 3 anos × múltiplo; 'pague pelo passado'; teste de estresse de queda de receita.</t>
  </si>
  <si>
    <t xml:space="preserve">https://buythenbuild.com/is-it-a-fair-multiple-defining-a-good-deal/</t>
  </si>
  <si>
    <t xml:space="preserve">Guia 'Buy Then Build — conceitos e fórmulas' (arquivo do projeto)</t>
  </si>
  <si>
    <t xml:space="preserve">Fórmulas adaptadas ao Brasil, caso numérico (EV 1.400; DSCR 1,30; estresse 0,59) replicado nesta planilha.</t>
  </si>
  <si>
    <t xml:space="preserve">Arquivo do projeto Ferramenta Valuation</t>
  </si>
  <si>
    <t xml:space="preserve">Stanford GSB — Search Fund Study 2024 (Selected Observations)</t>
  </si>
  <si>
    <t xml:space="preserve">Medianas de preço, EBITDA, múltiplos e retornos de search funds nos EUA/Canadá.</t>
  </si>
  <si>
    <t xml:space="preserve">https://www.onetoonefunds.com/wp-content/uploads/sites/11/2024/10/2024_Search-Fund-Study_Selected-Observations_Stanford-GSB.pdf</t>
  </si>
  <si>
    <t xml:space="preserve">Stanford GSB — A Primer on Search Funds</t>
  </si>
  <si>
    <t xml:space="preserve">Estrutura de capital, step-up (~150%), participação do searcher e vesting.</t>
  </si>
  <si>
    <t xml:space="preserve">https://cerralvo.com/wp-content/uploads/2023/12/A-Primer-on-Search-Funds.pdf</t>
  </si>
  <si>
    <t xml:space="preserve">IESE Business School — International Search Funds 2024 (ST-658-E)</t>
  </si>
  <si>
    <t xml:space="preserve">Dados internacionais; Espanha é o maior mercado fora da América do Norte.</t>
  </si>
  <si>
    <t xml:space="preserve">https://www.iese.edu/media/research/pdfs/ST-0658-E</t>
  </si>
  <si>
    <t xml:space="preserve">Grupo Santa Marta — Search funds na Espanha</t>
  </si>
  <si>
    <t xml:space="preserve">Estrutura típica espanhola: dívida sênior 2x–3x EBITDA, pagaré del vendedor, NewCo.</t>
  </si>
  <si>
    <t xml:space="preserve">https://www.gruposantamarta.com/search-funds/</t>
  </si>
  <si>
    <t xml:space="preserve">Yale SOM — Exploring Search Fund Entrepreneur Economics</t>
  </si>
  <si>
    <t xml:space="preserve">Cascata de distribuição e economia do searcher.</t>
  </si>
  <si>
    <t xml:space="preserve">https://som.yale.edu/sites/default/files/2025-04/Exploring%20Search%20Fund%20Entrepreneur%20Economics.pdf</t>
  </si>
  <si>
    <t xml:space="preserve">Searchfunder — Step-Up: the most important number</t>
  </si>
  <si>
    <t xml:space="preserve">Como o step-up afeta o retorno dos investidores.</t>
  </si>
  <si>
    <t xml:space="preserve">https://searchfunder.com/post/step-up-the-most-important-number-in-search-fund-investing</t>
  </si>
  <si>
    <t xml:space="preserve">Aswath Damodaran — valuation (arquivos do projeto)</t>
  </si>
  <si>
    <t xml:space="preserve">FCD, escolha do fluxo (FCFF), WACC, betas e prêmios de risco.</t>
  </si>
  <si>
    <t xml:space="preserve">https://pages.stern.nyu.edu/~adamodar/</t>
  </si>
  <si>
    <t xml:space="preserve">Templates existentes encontrados</t>
  </si>
  <si>
    <t xml:space="preserve">ProjectionHub (pago, em inglês), planilha compartilhada no Searchfunder (inglês), eFinancialModels/Eloquens (pagos). Nenhum em português com explicação de onde achar cada dado — por isso esta planilha.</t>
  </si>
  <si>
    <t xml:space="preserve">https://www.projectionhub.com/financial-projection-template/search-fund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</si>
</sst>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;\(#,##0.0\);\-"/>
    <numFmt numFmtId="166" formatCode="0.0%;\(0.0%\);\-"/>
    <numFmt numFmtId="167" formatCode="0.00\x;\(0.00&quot;x)&quot;;\-"/>
    <numFmt numFmtId="168" formatCode="0"/>
    <numFmt numFmtId="169" formatCode="0&quot; dias&quot;;\(0&quot; dias)&quot;;\-"/>
    <numFmt numFmtId="170" formatCode="0.00"/>
    <numFmt numFmtId="171" formatCode="0.000"/>
    <numFmt numFmtId="172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F8CBAD"/>
        <bgColor rgb="FFFFEB9C"/>
      </patternFill>
    </fill>
    <fill>
      <patternFill patternType="solid">
        <fgColor rgb="FF1F3864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C00000"/>
      </font>
      <fill>
        <patternFill>
          <bgColor rgb="FFF8CBAD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7030A0"/>
      <rgbColor rgb="FFF2F2F2"/>
      <rgbColor rgb="FFD9E1F2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aluation_BuyThenBuild_Template.xlsx" TargetMode="External"/><Relationship Id="rId2" Type="http://schemas.openxmlformats.org/officeDocument/2006/relationships/hyperlink" Target="Valuation_BuyThenBuild_Template.xlsx" TargetMode="External"/><Relationship Id="rId3" Type="http://schemas.openxmlformats.org/officeDocument/2006/relationships/hyperlink" Target="Valuation_BuyThenBuild_Template.xlsx" TargetMode="External"/><Relationship Id="rId4" Type="http://schemas.openxmlformats.org/officeDocument/2006/relationships/hyperlink" Target="Valuation_BuyThenBuild_Template.xlsx" TargetMode="External"/><Relationship Id="rId5" Type="http://schemas.openxmlformats.org/officeDocument/2006/relationships/hyperlink" Target="Valuation_BuyThenBuild_Template.xlsx" TargetMode="External"/><Relationship Id="rId6" Type="http://schemas.openxmlformats.org/officeDocument/2006/relationships/hyperlink" Target="Valuation_BuyThenBuild_Template.xlsx" TargetMode="External"/><Relationship Id="rId7" Type="http://schemas.openxmlformats.org/officeDocument/2006/relationships/hyperlink" Target="Valuation_BuyThenBuild_Template.xlsx" TargetMode="External"/><Relationship Id="rId8" Type="http://schemas.openxmlformats.org/officeDocument/2006/relationships/hyperlink" Target="Valuation_BuyThenBuild_Template.xlsx" TargetMode="External"/><Relationship Id="rId9" Type="http://schemas.openxmlformats.org/officeDocument/2006/relationships/hyperlink" Target="Valuation_BuyThenBuild_Template.xlsx" TargetMode="External"/><Relationship Id="rId10" Type="http://schemas.openxmlformats.org/officeDocument/2006/relationships/hyperlink" Target="Valuation_BuyThenBuild_Template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buythenbuild.com/is-it-a-fair-multiple-defining-a-good-deal/" TargetMode="External"/><Relationship Id="rId2" Type="http://schemas.openxmlformats.org/officeDocument/2006/relationships/hyperlink" Target="https://www.onetoonefunds.com/wp-content/uploads/sites/11/2024/10/2024_Search-Fund-Study_Selected-Observations_Stanford-GSB.pdf" TargetMode="External"/><Relationship Id="rId3" Type="http://schemas.openxmlformats.org/officeDocument/2006/relationships/hyperlink" Target="https://cerralvo.com/wp-content/uploads/2023/12/A-Primer-on-Search-Funds.pdf" TargetMode="External"/><Relationship Id="rId4" Type="http://schemas.openxmlformats.org/officeDocument/2006/relationships/hyperlink" Target="https://www.iese.edu/media/research/pdfs/ST-0658-E" TargetMode="External"/><Relationship Id="rId5" Type="http://schemas.openxmlformats.org/officeDocument/2006/relationships/hyperlink" Target="https://www.gruposantamarta.com/search-funds/" TargetMode="External"/><Relationship Id="rId6" Type="http://schemas.openxmlformats.org/officeDocument/2006/relationships/hyperlink" Target="https://som.yale.edu/sites/default/files/2025-04/Exploring%20Search%20Fund%20Entrepreneur%20Economics.pdf" TargetMode="External"/><Relationship Id="rId7" Type="http://schemas.openxmlformats.org/officeDocument/2006/relationships/hyperlink" Target="https://searchfunder.com/post/step-up-the-most-important-number-in-search-fund-investing" TargetMode="External"/><Relationship Id="rId8" Type="http://schemas.openxmlformats.org/officeDocument/2006/relationships/hyperlink" Target="https://pages.stern.nyu.edu/~adamodar/" TargetMode="External"/><Relationship Id="rId9" Type="http://schemas.openxmlformats.org/officeDocument/2006/relationships/hyperlink" Target="https://www.projectionhub.com/financial-projection-template/search-fun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3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30" hidden="false" customHeight="true" outlineLevel="0" collapsed="false">
      <c r="B5" s="5" t="s">
        <v>3</v>
      </c>
      <c r="C5" s="5"/>
    </row>
    <row r="6" customFormat="false" ht="30" hidden="false" customHeight="true" outlineLevel="0" collapsed="false">
      <c r="B6" s="5" t="s">
        <v>4</v>
      </c>
      <c r="C6" s="5"/>
    </row>
    <row r="7" customFormat="false" ht="30" hidden="false" customHeight="true" outlineLevel="0" collapsed="false">
      <c r="B7" s="5" t="s">
        <v>5</v>
      </c>
      <c r="C7" s="5"/>
    </row>
    <row r="9" customFormat="false" ht="15" hidden="false" customHeight="false" outlineLevel="0" collapsed="false">
      <c r="A9" s="3" t="s">
        <v>6</v>
      </c>
      <c r="B9" s="4"/>
      <c r="C9" s="4"/>
    </row>
    <row r="10" customFormat="false" ht="30" hidden="false" customHeight="true" outlineLevel="0" collapsed="false">
      <c r="B10" s="6" t="s">
        <v>7</v>
      </c>
      <c r="C10" s="7" t="s">
        <v>8</v>
      </c>
    </row>
    <row r="11" customFormat="false" ht="30" hidden="false" customHeight="true" outlineLevel="0" collapsed="false">
      <c r="B11" s="6" t="s">
        <v>9</v>
      </c>
      <c r="C11" s="7" t="s">
        <v>10</v>
      </c>
    </row>
    <row r="12" customFormat="false" ht="30" hidden="false" customHeight="true" outlineLevel="0" collapsed="false">
      <c r="B12" s="6" t="s">
        <v>11</v>
      </c>
      <c r="C12" s="7" t="s">
        <v>12</v>
      </c>
    </row>
    <row r="13" customFormat="false" ht="30" hidden="false" customHeight="true" outlineLevel="0" collapsed="false">
      <c r="B13" s="6" t="s">
        <v>13</v>
      </c>
      <c r="C13" s="7" t="s">
        <v>14</v>
      </c>
    </row>
    <row r="14" customFormat="false" ht="30" hidden="false" customHeight="true" outlineLevel="0" collapsed="false">
      <c r="B14" s="6" t="s">
        <v>15</v>
      </c>
      <c r="C14" s="7" t="s">
        <v>16</v>
      </c>
    </row>
    <row r="15" customFormat="false" ht="30" hidden="false" customHeight="true" outlineLevel="0" collapsed="false">
      <c r="B15" s="6" t="s">
        <v>17</v>
      </c>
      <c r="C15" s="7" t="s">
        <v>18</v>
      </c>
    </row>
    <row r="16" customFormat="false" ht="30" hidden="false" customHeight="true" outlineLevel="0" collapsed="false">
      <c r="B16" s="6" t="s">
        <v>19</v>
      </c>
      <c r="C16" s="7" t="s">
        <v>20</v>
      </c>
    </row>
    <row r="17" customFormat="false" ht="30" hidden="false" customHeight="true" outlineLevel="0" collapsed="false">
      <c r="B17" s="6" t="s">
        <v>21</v>
      </c>
      <c r="C17" s="7" t="s">
        <v>22</v>
      </c>
    </row>
    <row r="18" customFormat="false" ht="30" hidden="false" customHeight="true" outlineLevel="0" collapsed="false">
      <c r="B18" s="6" t="s">
        <v>23</v>
      </c>
      <c r="C18" s="7" t="s">
        <v>24</v>
      </c>
    </row>
    <row r="19" customFormat="false" ht="30" hidden="false" customHeight="true" outlineLevel="0" collapsed="false">
      <c r="B19" s="6" t="s">
        <v>25</v>
      </c>
      <c r="C19" s="7" t="s">
        <v>26</v>
      </c>
    </row>
    <row r="21" customFormat="false" ht="15" hidden="false" customHeight="false" outlineLevel="0" collapsed="false">
      <c r="A21" s="3" t="s">
        <v>27</v>
      </c>
      <c r="B21" s="4"/>
      <c r="C21" s="4"/>
    </row>
    <row r="22" customFormat="false" ht="15" hidden="false" customHeight="false" outlineLevel="0" collapsed="false">
      <c r="B22" s="8" t="s">
        <v>28</v>
      </c>
      <c r="C22" s="9" t="s">
        <v>29</v>
      </c>
    </row>
    <row r="23" customFormat="false" ht="15" hidden="false" customHeight="false" outlineLevel="0" collapsed="false">
      <c r="B23" s="10" t="s">
        <v>28</v>
      </c>
      <c r="C23" s="9" t="s">
        <v>30</v>
      </c>
    </row>
    <row r="24" customFormat="false" ht="15" hidden="false" customHeight="false" outlineLevel="0" collapsed="false">
      <c r="B24" s="10" t="s">
        <v>28</v>
      </c>
      <c r="C24" s="9" t="s">
        <v>31</v>
      </c>
    </row>
    <row r="25" customFormat="false" ht="15" hidden="false" customHeight="false" outlineLevel="0" collapsed="false">
      <c r="B25" s="11" t="s">
        <v>28</v>
      </c>
      <c r="C25" s="9" t="s">
        <v>32</v>
      </c>
    </row>
    <row r="26" customFormat="false" ht="15" hidden="false" customHeight="false" outlineLevel="0" collapsed="false">
      <c r="B26" s="12" t="s">
        <v>33</v>
      </c>
      <c r="C26" s="9" t="s">
        <v>34</v>
      </c>
    </row>
    <row r="28" customFormat="false" ht="15" hidden="false" customHeight="false" outlineLevel="0" collapsed="false">
      <c r="A28" s="3" t="s">
        <v>35</v>
      </c>
      <c r="B28" s="4"/>
      <c r="C28" s="4"/>
    </row>
    <row r="29" customFormat="false" ht="30" hidden="false" customHeight="true" outlineLevel="0" collapsed="false">
      <c r="B29" s="13" t="s">
        <v>36</v>
      </c>
      <c r="C29" s="7" t="s">
        <v>37</v>
      </c>
    </row>
    <row r="30" customFormat="false" ht="30" hidden="false" customHeight="true" outlineLevel="0" collapsed="false">
      <c r="B30" s="13" t="s">
        <v>38</v>
      </c>
      <c r="C30" s="7" t="s">
        <v>39</v>
      </c>
    </row>
    <row r="31" customFormat="false" ht="30" hidden="false" customHeight="true" outlineLevel="0" collapsed="false">
      <c r="B31" s="13" t="s">
        <v>40</v>
      </c>
      <c r="C31" s="7" t="s">
        <v>41</v>
      </c>
    </row>
    <row r="32" customFormat="false" ht="30" hidden="false" customHeight="true" outlineLevel="0" collapsed="false">
      <c r="B32" s="13" t="s">
        <v>42</v>
      </c>
      <c r="C32" s="7" t="s">
        <v>43</v>
      </c>
    </row>
    <row r="33" customFormat="false" ht="30" hidden="false" customHeight="true" outlineLevel="0" collapsed="false">
      <c r="B33" s="13" t="s">
        <v>44</v>
      </c>
      <c r="C33" s="7" t="s">
        <v>45</v>
      </c>
    </row>
    <row r="34" customFormat="false" ht="30" hidden="false" customHeight="true" outlineLevel="0" collapsed="false">
      <c r="B34" s="13" t="s">
        <v>46</v>
      </c>
      <c r="C34" s="7" t="s">
        <v>47</v>
      </c>
    </row>
  </sheetData>
  <mergeCells count="3">
    <mergeCell ref="B5:C5"/>
    <mergeCell ref="B6:C6"/>
    <mergeCell ref="B7:C7"/>
  </mergeCells>
  <hyperlinks>
    <hyperlink ref="B10" r:id="rId1" location="'1_DRE'!A1" display="1_DRE"/>
    <hyperlink ref="B11" r:id="rId2" location="'2_Balanco'!A1" display="2_Balanco"/>
    <hyperlink ref="B12" r:id="rId3" location="'3_DFC'!A1" display="3_DFC"/>
    <hyperlink ref="B13" r:id="rId4" location="'4_Normalizacao'!A1" display="4_Normalizacao"/>
    <hyperlink ref="B14" r:id="rId5" location="'5_Valuation'!A1" display="5_Valuation"/>
    <hyperlink ref="B15" r:id="rId6" location="'6_Estrutura'!A1" display="6_Estrutura"/>
    <hyperlink ref="B16" r:id="rId7" location="'7_Retorno'!A1" display="7_Retorno"/>
    <hyperlink ref="B17" r:id="rId8" location="'8_Qualidade'!A1" display="8_Qualidade"/>
    <hyperlink ref="B18" r:id="rId9" location="'Resumo'!A1" display="Resumo"/>
    <hyperlink ref="B19" r:id="rId10" location="'9_Glossario_Fontes'!A1" display="9_Glossario_Fo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3" t="s">
        <v>50</v>
      </c>
      <c r="B4" s="4"/>
      <c r="C4" s="4"/>
      <c r="D4" s="4"/>
      <c r="E4" s="4"/>
    </row>
    <row r="5" customFormat="false" ht="30" hidden="false" customHeight="true" outlineLevel="0" collapsed="false">
      <c r="A5" s="14" t="s">
        <v>51</v>
      </c>
      <c r="B5" s="14" t="s">
        <v>52</v>
      </c>
      <c r="C5" s="14" t="s">
        <v>53</v>
      </c>
      <c r="D5" s="14" t="s">
        <v>54</v>
      </c>
      <c r="E5" s="14" t="s">
        <v>55</v>
      </c>
    </row>
    <row r="6" customFormat="false" ht="15" hidden="false" customHeight="false" outlineLevel="0" collapsed="false">
      <c r="A6" s="7" t="s">
        <v>56</v>
      </c>
      <c r="B6" s="15" t="n">
        <f aca="false">1_DRE!D8</f>
        <v>0</v>
      </c>
      <c r="C6" s="15" t="n">
        <f aca="false">1_DRE!E8</f>
        <v>0</v>
      </c>
      <c r="D6" s="15" t="n">
        <f aca="false">1_DRE!F8</f>
        <v>0</v>
      </c>
    </row>
    <row r="7" customFormat="false" ht="15" hidden="false" customHeight="false" outlineLevel="0" collapsed="false">
      <c r="A7" s="7" t="s">
        <v>57</v>
      </c>
      <c r="B7" s="15" t="n">
        <f aca="false">1_DRE!D19</f>
        <v>0</v>
      </c>
      <c r="C7" s="15" t="n">
        <f aca="false">1_DRE!E19</f>
        <v>0</v>
      </c>
      <c r="D7" s="15" t="n">
        <f aca="false">1_DRE!F19</f>
        <v>0</v>
      </c>
    </row>
    <row r="8" customFormat="false" ht="15" hidden="false" customHeight="false" outlineLevel="0" collapsed="false">
      <c r="A8" s="7" t="s">
        <v>58</v>
      </c>
      <c r="B8" s="15" t="n">
        <f aca="false">4_Normalizacao!D12</f>
        <v>0</v>
      </c>
      <c r="C8" s="15" t="n">
        <f aca="false">4_Normalizacao!E12</f>
        <v>20</v>
      </c>
      <c r="D8" s="15" t="n">
        <f aca="false">4_Normalizacao!F12</f>
        <v>0</v>
      </c>
      <c r="E8" s="16" t="s">
        <v>59</v>
      </c>
    </row>
    <row r="9" customFormat="false" ht="15" hidden="false" customHeight="false" outlineLevel="0" collapsed="false">
      <c r="A9" s="7" t="s">
        <v>60</v>
      </c>
      <c r="B9" s="15" t="n">
        <f aca="false">4_Normalizacao!D16</f>
        <v>0</v>
      </c>
      <c r="C9" s="15" t="n">
        <f aca="false">4_Normalizacao!E16</f>
        <v>20</v>
      </c>
      <c r="D9" s="15" t="n">
        <f aca="false">4_Normalizacao!F16</f>
        <v>0</v>
      </c>
      <c r="E9" s="16" t="s">
        <v>61</v>
      </c>
    </row>
    <row r="10" customFormat="false" ht="15" hidden="false" customHeight="false" outlineLevel="0" collapsed="false">
      <c r="A10" s="7" t="s">
        <v>62</v>
      </c>
      <c r="B10" s="17" t="n">
        <f aca="false">4_Normalizacao!D17</f>
        <v>0</v>
      </c>
      <c r="C10" s="17" t="n">
        <f aca="false">4_Normalizacao!E17</f>
        <v>0</v>
      </c>
      <c r="D10" s="17" t="n">
        <f aca="false">4_Normalizacao!F17</f>
        <v>0</v>
      </c>
    </row>
    <row r="11" customFormat="false" ht="15" hidden="false" customHeight="false" outlineLevel="0" collapsed="false">
      <c r="A11" s="7" t="s">
        <v>63</v>
      </c>
      <c r="B11" s="15" t="n">
        <f aca="false">3_DFC!D6</f>
        <v>0</v>
      </c>
      <c r="C11" s="15" t="n">
        <f aca="false">3_DFC!E6</f>
        <v>0</v>
      </c>
      <c r="D11" s="15" t="n">
        <f aca="false">3_DFC!F6</f>
        <v>0</v>
      </c>
    </row>
    <row r="12" customFormat="false" ht="15" hidden="false" customHeight="false" outlineLevel="0" collapsed="false">
      <c r="A12" s="7" t="s">
        <v>64</v>
      </c>
      <c r="B12" s="15" t="n">
        <f aca="false">3_DFC!D11</f>
        <v>0</v>
      </c>
      <c r="C12" s="15" t="n">
        <f aca="false">3_DFC!E11</f>
        <v>0</v>
      </c>
      <c r="D12" s="15" t="n">
        <f aca="false">3_DFC!F11</f>
        <v>0</v>
      </c>
    </row>
    <row r="13" customFormat="false" ht="15" hidden="false" customHeight="false" outlineLevel="0" collapsed="false">
      <c r="A13" s="7" t="s">
        <v>65</v>
      </c>
      <c r="B13" s="15" t="n">
        <f aca="false">3_DFC!D13</f>
        <v>0</v>
      </c>
      <c r="C13" s="15" t="n">
        <f aca="false">3_DFC!E13</f>
        <v>0</v>
      </c>
      <c r="D13" s="15" t="n">
        <f aca="false">3_DFC!F13</f>
        <v>0</v>
      </c>
      <c r="E13" s="16" t="s">
        <v>66</v>
      </c>
    </row>
    <row r="14" customFormat="false" ht="15" hidden="false" customHeight="false" outlineLevel="0" collapsed="false">
      <c r="A14" s="7" t="s">
        <v>67</v>
      </c>
      <c r="B14" s="17" t="n">
        <f aca="false">3_DFC!D15</f>
        <v>0</v>
      </c>
      <c r="C14" s="17" t="n">
        <f aca="false">3_DFC!E15</f>
        <v>0</v>
      </c>
      <c r="D14" s="17" t="n">
        <f aca="false">3_DFC!F15</f>
        <v>0</v>
      </c>
    </row>
    <row r="16" customFormat="false" ht="15" hidden="false" customHeight="false" outlineLevel="0" collapsed="false">
      <c r="A16" s="3" t="s">
        <v>68</v>
      </c>
      <c r="B16" s="4"/>
      <c r="C16" s="4"/>
      <c r="D16" s="4"/>
      <c r="E16" s="4"/>
    </row>
    <row r="17" customFormat="false" ht="30" hidden="false" customHeight="true" outlineLevel="0" collapsed="false">
      <c r="A17" s="14" t="s">
        <v>51</v>
      </c>
      <c r="B17" s="14" t="s">
        <v>69</v>
      </c>
      <c r="C17" s="14" t="s">
        <v>70</v>
      </c>
      <c r="D17" s="14" t="s">
        <v>71</v>
      </c>
      <c r="E17" s="14" t="s">
        <v>55</v>
      </c>
    </row>
    <row r="18" customFormat="false" ht="15" hidden="false" customHeight="false" outlineLevel="0" collapsed="false">
      <c r="A18" s="7" t="s">
        <v>72</v>
      </c>
      <c r="B18" s="15" t="n">
        <f aca="false">5_Valuation!C8</f>
        <v>15</v>
      </c>
      <c r="C18" s="15" t="n">
        <f aca="false">5_Valuation!D8</f>
        <v>18</v>
      </c>
      <c r="D18" s="15" t="n">
        <f aca="false">5_Valuation!E8</f>
        <v>21</v>
      </c>
    </row>
    <row r="19" customFormat="false" ht="15" hidden="false" customHeight="false" outlineLevel="0" collapsed="false">
      <c r="A19" s="7" t="s">
        <v>73</v>
      </c>
      <c r="B19" s="15" t="n">
        <f aca="false">5_Valuation!C14</f>
        <v>0</v>
      </c>
      <c r="C19" s="15" t="n">
        <f aca="false">5_Valuation!D14</f>
        <v>0</v>
      </c>
      <c r="D19" s="15" t="n">
        <f aca="false">5_Valuation!E14</f>
        <v>0</v>
      </c>
    </row>
    <row r="20" customFormat="false" ht="15" hidden="false" customHeight="false" outlineLevel="0" collapsed="false">
      <c r="A20" s="18" t="s">
        <v>74</v>
      </c>
      <c r="B20" s="19" t="n">
        <f aca="false">5_Valuation!C71</f>
        <v>3</v>
      </c>
      <c r="C20" s="19" t="n">
        <f aca="false">5_Valuation!D71</f>
        <v>3.6</v>
      </c>
      <c r="D20" s="19" t="n">
        <f aca="false">5_Valuation!E71</f>
        <v>4.2</v>
      </c>
      <c r="E20" s="16" t="s">
        <v>75</v>
      </c>
    </row>
    <row r="21" customFormat="false" ht="15" hidden="false" customHeight="false" outlineLevel="0" collapsed="false">
      <c r="A21" s="7" t="s">
        <v>76</v>
      </c>
      <c r="C21" s="15" t="n">
        <f aca="false">5_Valuation!B53</f>
        <v>0</v>
      </c>
    </row>
    <row r="22" customFormat="false" ht="15" hidden="false" customHeight="false" outlineLevel="0" collapsed="false">
      <c r="A22" s="18" t="s">
        <v>77</v>
      </c>
      <c r="C22" s="20" t="n">
        <f aca="false">5_Valuation!D82</f>
        <v>3.6</v>
      </c>
    </row>
    <row r="24" customFormat="false" ht="15" hidden="false" customHeight="false" outlineLevel="0" collapsed="false">
      <c r="A24" s="3" t="s">
        <v>78</v>
      </c>
      <c r="B24" s="4"/>
      <c r="C24" s="4"/>
      <c r="D24" s="4"/>
      <c r="E24" s="4"/>
    </row>
    <row r="25" customFormat="false" ht="15" hidden="false" customHeight="false" outlineLevel="0" collapsed="false">
      <c r="A25" s="7" t="s">
        <v>79</v>
      </c>
      <c r="C25" s="15" t="n">
        <f aca="false">6_Estrutura!B7</f>
        <v>0</v>
      </c>
    </row>
    <row r="26" customFormat="false" ht="15" hidden="false" customHeight="false" outlineLevel="0" collapsed="false">
      <c r="A26" s="7" t="s">
        <v>80</v>
      </c>
      <c r="C26" s="21" t="n">
        <f aca="false">6_Estrutura!B6</f>
        <v>0</v>
      </c>
    </row>
    <row r="27" customFormat="false" ht="15" hidden="false" customHeight="false" outlineLevel="0" collapsed="false">
      <c r="A27" s="7" t="s">
        <v>81</v>
      </c>
      <c r="C27" s="21" t="n">
        <f aca="false">6_Estrutura!B8</f>
        <v>0</v>
      </c>
      <c r="E27" s="16" t="s">
        <v>82</v>
      </c>
    </row>
    <row r="28" customFormat="false" ht="15" hidden="false" customHeight="false" outlineLevel="0" collapsed="false">
      <c r="A28" s="7" t="s">
        <v>83</v>
      </c>
      <c r="C28" s="15" t="n">
        <f aca="false">6_Estrutura!B12</f>
        <v>0</v>
      </c>
    </row>
    <row r="29" customFormat="false" ht="15" hidden="false" customHeight="false" outlineLevel="0" collapsed="false">
      <c r="A29" s="7" t="s">
        <v>84</v>
      </c>
      <c r="C29" s="15" t="n">
        <f aca="false">6_Estrutura!B20</f>
        <v>0</v>
      </c>
      <c r="E29" s="16" t="s">
        <v>85</v>
      </c>
    </row>
    <row r="30" customFormat="false" ht="15" hidden="false" customHeight="false" outlineLevel="0" collapsed="false">
      <c r="A30" s="18" t="s">
        <v>86</v>
      </c>
      <c r="C30" s="19" t="n">
        <f aca="false">6_Estrutura!B25</f>
        <v>0</v>
      </c>
    </row>
    <row r="31" customFormat="false" ht="15" hidden="false" customHeight="false" outlineLevel="0" collapsed="false">
      <c r="A31" s="7" t="s">
        <v>87</v>
      </c>
      <c r="C31" s="21" t="n">
        <f aca="false">6_Estrutura!B30</f>
        <v>0</v>
      </c>
    </row>
    <row r="32" customFormat="false" ht="15" hidden="false" customHeight="false" outlineLevel="0" collapsed="false">
      <c r="A32" s="18" t="s">
        <v>88</v>
      </c>
      <c r="C32" s="22" t="n">
        <f aca="false">6_Estrutura!B55</f>
        <v>0</v>
      </c>
      <c r="E32" s="16" t="s">
        <v>89</v>
      </c>
    </row>
    <row r="33" customFormat="false" ht="15" hidden="false" customHeight="false" outlineLevel="0" collapsed="false">
      <c r="A33" s="7" t="s">
        <v>90</v>
      </c>
      <c r="C33" s="21" t="n">
        <f aca="false">MIN(6_Estrutura!C89:G89)</f>
        <v>0</v>
      </c>
    </row>
    <row r="34" customFormat="false" ht="15" hidden="false" customHeight="false" outlineLevel="0" collapsed="false">
      <c r="A34" s="7" t="s">
        <v>91</v>
      </c>
      <c r="C34" s="21" t="n">
        <f aca="false">6_Estrutura!B67</f>
        <v>0</v>
      </c>
    </row>
    <row r="35" customFormat="false" ht="15" hidden="false" customHeight="false" outlineLevel="0" collapsed="false">
      <c r="A35" s="18" t="s">
        <v>92</v>
      </c>
      <c r="C35" s="23" t="str">
        <f aca="false">6_Estrutura!B69</f>
        <v/>
      </c>
      <c r="E35" s="16" t="s">
        <v>93</v>
      </c>
    </row>
    <row r="37" customFormat="false" ht="15" hidden="false" customHeight="false" outlineLevel="0" collapsed="false">
      <c r="A37" s="3" t="s">
        <v>94</v>
      </c>
      <c r="B37" s="4"/>
      <c r="C37" s="4"/>
      <c r="D37" s="4"/>
      <c r="E37" s="4"/>
    </row>
    <row r="38" customFormat="false" ht="15" hidden="false" customHeight="false" outlineLevel="0" collapsed="false">
      <c r="A38" s="7" t="s">
        <v>95</v>
      </c>
      <c r="C38" s="21" t="n">
        <f aca="false">7_Retorno!B32</f>
        <v>0</v>
      </c>
    </row>
    <row r="39" customFormat="false" ht="15" hidden="false" customHeight="false" outlineLevel="0" collapsed="false">
      <c r="A39" s="7" t="s">
        <v>96</v>
      </c>
      <c r="C39" s="17" t="n">
        <f aca="false">7_Retorno!B33</f>
        <v>-1</v>
      </c>
    </row>
    <row r="40" customFormat="false" ht="15" hidden="false" customHeight="false" outlineLevel="0" collapsed="false">
      <c r="A40" s="7" t="s">
        <v>97</v>
      </c>
      <c r="C40" s="15" t="n">
        <f aca="false">7_Retorno!B28</f>
        <v>0</v>
      </c>
    </row>
    <row r="41" customFormat="false" ht="15" hidden="false" customHeight="false" outlineLevel="0" collapsed="false">
      <c r="A41" s="7" t="s">
        <v>98</v>
      </c>
      <c r="C41" s="21" t="n">
        <f aca="false">7_Retorno!B38</f>
        <v>0</v>
      </c>
    </row>
    <row r="43" customFormat="false" ht="15" hidden="false" customHeight="false" outlineLevel="0" collapsed="false">
      <c r="A43" s="3" t="s">
        <v>99</v>
      </c>
      <c r="B43" s="4"/>
      <c r="C43" s="4"/>
      <c r="D43" s="4"/>
      <c r="E43" s="4"/>
    </row>
    <row r="44" customFormat="false" ht="15" hidden="false" customHeight="false" outlineLevel="0" collapsed="false">
      <c r="A44" s="7" t="s">
        <v>100</v>
      </c>
      <c r="C44" s="17" t="n">
        <f aca="false">8_Qualidade!B6</f>
        <v>0</v>
      </c>
    </row>
    <row r="45" customFormat="false" ht="15" hidden="false" customHeight="false" outlineLevel="0" collapsed="false">
      <c r="A45" s="7" t="s">
        <v>101</v>
      </c>
      <c r="C45" s="17" t="n">
        <f aca="false">8_Qualidade!B9</f>
        <v>0</v>
      </c>
    </row>
    <row r="46" customFormat="false" ht="15" hidden="false" customHeight="false" outlineLevel="0" collapsed="false">
      <c r="A46" s="7" t="s">
        <v>102</v>
      </c>
      <c r="C46" s="24" t="n">
        <f aca="false">8_Qualidade!B27</f>
        <v>6</v>
      </c>
    </row>
    <row r="47" customFormat="false" ht="15" hidden="false" customHeight="false" outlineLevel="0" collapsed="false">
      <c r="A47" s="7" t="s">
        <v>103</v>
      </c>
      <c r="C47" s="15" t="n">
        <f aca="false">1_DRE!F28</f>
        <v>0</v>
      </c>
    </row>
    <row r="48" customFormat="false" ht="15" hidden="false" customHeight="false" outlineLevel="0" collapsed="false">
      <c r="A48" s="7" t="s">
        <v>104</v>
      </c>
      <c r="C48" s="15" t="n">
        <f aca="false">6_Estrutura!B29</f>
        <v>0</v>
      </c>
    </row>
  </sheetData>
  <conditionalFormatting sqref="C32">
    <cfRule type="cellIs" priority="2" operator="lessThan" aboveAverage="0" equalAverage="0" bottom="0" percent="0" rank="0" text="" dxfId="0">
      <formula>1</formula>
    </cfRule>
    <cfRule type="expression" priority="3" aboveAverage="0" equalAverage="0" bottom="0" percent="0" rank="0" text="" dxfId="1">
      <formula>AND(C32&gt;=1,C32&lt;6_Estrutura!$B$42)</formula>
    </cfRule>
  </conditionalFormatting>
  <conditionalFormatting sqref="C33">
    <cfRule type="cellIs" priority="4" operator="lessThan" aboveAverage="0" equalAverage="0" bottom="0" percent="0" rank="0" text="" dxfId="0">
      <formula>1</formula>
    </cfRule>
    <cfRule type="expression" priority="5" aboveAverage="0" equalAverage="0" bottom="0" percent="0" rank="0" text="" dxfId="1">
      <formula>AND(C33&gt;=1,C33&lt;6_Estrutura!$B$42)</formula>
    </cfRule>
  </conditionalFormatting>
  <conditionalFormatting sqref="C34">
    <cfRule type="cellIs" priority="6" operator="lessThan" aboveAverage="0" equalAverage="0" bottom="0" percent="0" rank="0" text="" dxfId="0">
      <formula>1</formula>
    </cfRule>
    <cfRule type="expression" priority="7" aboveAverage="0" equalAverage="0" bottom="0" percent="0" rank="0" text="" dxfId="1">
      <formula>AND(C34&gt;=1,C34&lt;6_Estrutura!$B$42)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6" min="4" style="0" width="12"/>
    <col collapsed="false" customWidth="true" hidden="false" outlineLevel="0" max="7" min="7" style="0" width="44"/>
    <col collapsed="false" customWidth="true" hidden="false" outlineLevel="0" max="8" min="8" style="0" width="34"/>
    <col collapsed="false" customWidth="true" hidden="false" outlineLevel="0" max="9" min="9" style="0" width="46"/>
  </cols>
  <sheetData>
    <row r="1" customFormat="false" ht="19.7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30" hidden="false" customHeight="true" outlineLevel="0" collapsed="false">
      <c r="A4" s="14" t="s">
        <v>107</v>
      </c>
      <c r="B4" s="14" t="s">
        <v>108</v>
      </c>
      <c r="D4" s="14" t="s">
        <v>52</v>
      </c>
      <c r="E4" s="14" t="s">
        <v>53</v>
      </c>
      <c r="F4" s="14" t="s">
        <v>54</v>
      </c>
      <c r="G4" s="14" t="s">
        <v>109</v>
      </c>
      <c r="H4" s="14" t="s">
        <v>110</v>
      </c>
      <c r="I4" s="14" t="s">
        <v>111</v>
      </c>
    </row>
    <row r="5" customFormat="false" ht="15" hidden="false" customHeight="false" outlineLevel="0" collapsed="false">
      <c r="A5" s="3" t="s">
        <v>112</v>
      </c>
      <c r="B5" s="4"/>
      <c r="C5" s="4"/>
      <c r="D5" s="4"/>
      <c r="E5" s="4"/>
      <c r="F5" s="4"/>
      <c r="G5" s="4"/>
      <c r="H5" s="4"/>
      <c r="I5" s="4"/>
    </row>
    <row r="6" customFormat="false" ht="39.75" hidden="false" customHeight="true" outlineLevel="0" collapsed="false">
      <c r="A6" s="7" t="s">
        <v>113</v>
      </c>
      <c r="B6" s="25" t="s">
        <v>114</v>
      </c>
      <c r="D6" s="26" t="n">
        <v>0</v>
      </c>
      <c r="E6" s="26" t="n">
        <v>0</v>
      </c>
      <c r="F6" s="26" t="n">
        <v>0</v>
      </c>
      <c r="G6" s="16" t="s">
        <v>115</v>
      </c>
      <c r="H6" s="16" t="s">
        <v>116</v>
      </c>
      <c r="I6" s="16" t="s">
        <v>117</v>
      </c>
    </row>
    <row r="7" customFormat="false" ht="39.75" hidden="false" customHeight="true" outlineLevel="0" collapsed="false">
      <c r="A7" s="7" t="s">
        <v>118</v>
      </c>
      <c r="B7" s="25" t="s">
        <v>114</v>
      </c>
      <c r="D7" s="26" t="n">
        <v>0</v>
      </c>
      <c r="E7" s="26" t="n">
        <v>0</v>
      </c>
      <c r="F7" s="26" t="n">
        <v>0</v>
      </c>
      <c r="G7" s="16" t="s">
        <v>119</v>
      </c>
      <c r="H7" s="16" t="s">
        <v>120</v>
      </c>
      <c r="I7" s="16" t="s">
        <v>121</v>
      </c>
    </row>
    <row r="8" customFormat="false" ht="39.75" hidden="false" customHeight="true" outlineLevel="0" collapsed="false">
      <c r="A8" s="18" t="s">
        <v>56</v>
      </c>
      <c r="B8" s="25" t="s">
        <v>122</v>
      </c>
      <c r="D8" s="19" t="n">
        <f aca="false">D6-D7</f>
        <v>0</v>
      </c>
      <c r="E8" s="19" t="n">
        <f aca="false">E6-E7</f>
        <v>0</v>
      </c>
      <c r="F8" s="19" t="n">
        <f aca="false">F6-F7</f>
        <v>0</v>
      </c>
      <c r="G8" s="16" t="s">
        <v>123</v>
      </c>
      <c r="I8" s="16" t="s">
        <v>124</v>
      </c>
    </row>
    <row r="9" customFormat="false" ht="15" hidden="false" customHeight="false" outlineLevel="0" collapsed="false">
      <c r="A9" s="3" t="s">
        <v>125</v>
      </c>
      <c r="B9" s="4"/>
      <c r="C9" s="4"/>
      <c r="D9" s="4"/>
      <c r="E9" s="4"/>
      <c r="F9" s="4"/>
      <c r="G9" s="4"/>
      <c r="H9" s="4"/>
      <c r="I9" s="4"/>
    </row>
    <row r="10" customFormat="false" ht="39.75" hidden="false" customHeight="true" outlineLevel="0" collapsed="false">
      <c r="A10" s="7" t="s">
        <v>126</v>
      </c>
      <c r="B10" s="25" t="s">
        <v>114</v>
      </c>
      <c r="D10" s="26" t="n">
        <v>0</v>
      </c>
      <c r="E10" s="26" t="n">
        <v>0</v>
      </c>
      <c r="F10" s="26" t="n">
        <v>0</v>
      </c>
      <c r="G10" s="16" t="s">
        <v>127</v>
      </c>
      <c r="H10" s="16" t="s">
        <v>128</v>
      </c>
      <c r="I10" s="16" t="s">
        <v>129</v>
      </c>
    </row>
    <row r="11" customFormat="false" ht="39.75" hidden="false" customHeight="true" outlineLevel="0" collapsed="false">
      <c r="A11" s="18" t="s">
        <v>130</v>
      </c>
      <c r="B11" s="25" t="s">
        <v>122</v>
      </c>
      <c r="D11" s="19" t="n">
        <f aca="false">D8-D10</f>
        <v>0</v>
      </c>
      <c r="E11" s="19" t="n">
        <f aca="false">E8-E10</f>
        <v>0</v>
      </c>
      <c r="F11" s="19" t="n">
        <f aca="false">F8-F10</f>
        <v>0</v>
      </c>
      <c r="G11" s="16" t="s">
        <v>123</v>
      </c>
    </row>
    <row r="12" customFormat="false" ht="39.75" hidden="false" customHeight="true" outlineLevel="0" collapsed="false">
      <c r="A12" s="7" t="s">
        <v>131</v>
      </c>
      <c r="B12" s="25" t="s">
        <v>122</v>
      </c>
      <c r="D12" s="17" t="n">
        <f aca="false">IF(D8=0,0,D11/D8)</f>
        <v>0</v>
      </c>
      <c r="E12" s="17" t="n">
        <f aca="false">IF(E8=0,0,E11/E8)</f>
        <v>0</v>
      </c>
      <c r="F12" s="17" t="n">
        <f aca="false">IF(F8=0,0,F11/F8)</f>
        <v>0</v>
      </c>
      <c r="G12" s="16" t="s">
        <v>123</v>
      </c>
      <c r="I12" s="16" t="s">
        <v>132</v>
      </c>
    </row>
    <row r="13" customFormat="false" ht="39.75" hidden="false" customHeight="true" outlineLevel="0" collapsed="false">
      <c r="A13" s="7" t="s">
        <v>133</v>
      </c>
      <c r="B13" s="25" t="s">
        <v>114</v>
      </c>
      <c r="D13" s="26" t="n">
        <v>0</v>
      </c>
      <c r="E13" s="26" t="n">
        <v>0</v>
      </c>
      <c r="F13" s="26" t="n">
        <v>0</v>
      </c>
      <c r="G13" s="16" t="s">
        <v>134</v>
      </c>
      <c r="H13" s="16" t="s">
        <v>135</v>
      </c>
      <c r="I13" s="16" t="s">
        <v>136</v>
      </c>
    </row>
    <row r="14" customFormat="false" ht="39.75" hidden="false" customHeight="true" outlineLevel="0" collapsed="false">
      <c r="A14" s="7" t="s">
        <v>137</v>
      </c>
      <c r="B14" s="25" t="s">
        <v>114</v>
      </c>
      <c r="D14" s="26" t="n">
        <v>0</v>
      </c>
      <c r="E14" s="26" t="n">
        <v>0</v>
      </c>
      <c r="F14" s="26" t="n">
        <v>0</v>
      </c>
      <c r="G14" s="16" t="s">
        <v>138</v>
      </c>
      <c r="H14" s="16" t="s">
        <v>139</v>
      </c>
      <c r="I14" s="16" t="s">
        <v>140</v>
      </c>
    </row>
    <row r="15" customFormat="false" ht="39.75" hidden="false" customHeight="true" outlineLevel="0" collapsed="false">
      <c r="A15" s="7" t="s">
        <v>141</v>
      </c>
      <c r="B15" s="25" t="s">
        <v>114</v>
      </c>
      <c r="D15" s="26" t="n">
        <v>0</v>
      </c>
      <c r="E15" s="26" t="n">
        <v>0</v>
      </c>
      <c r="F15" s="26" t="n">
        <v>0</v>
      </c>
      <c r="G15" s="16" t="s">
        <v>142</v>
      </c>
      <c r="H15" s="16" t="s">
        <v>143</v>
      </c>
      <c r="I15" s="16" t="s">
        <v>144</v>
      </c>
    </row>
    <row r="16" customFormat="false" ht="39.75" hidden="false" customHeight="true" outlineLevel="0" collapsed="false">
      <c r="A16" s="7" t="s">
        <v>145</v>
      </c>
      <c r="B16" s="25" t="s">
        <v>114</v>
      </c>
      <c r="D16" s="26" t="n">
        <v>0</v>
      </c>
      <c r="E16" s="26">
        <v>0</v>
      </c>
      <c r="F16" s="26" t="n">
        <v>0</v>
      </c>
      <c r="G16" s="16" t="s">
        <v>146</v>
      </c>
      <c r="H16" s="16" t="s">
        <v>147</v>
      </c>
      <c r="I16" s="16" t="s">
        <v>148</v>
      </c>
    </row>
    <row r="17" customFormat="false" ht="39.75" hidden="false" customHeight="true" outlineLevel="0" collapsed="false">
      <c r="A17" s="7" t="s">
        <v>149</v>
      </c>
      <c r="B17" s="25" t="s">
        <v>114</v>
      </c>
      <c r="D17" s="26" t="n">
        <v>0</v>
      </c>
      <c r="E17" s="26" t="n">
        <v>0</v>
      </c>
      <c r="F17" s="26" t="n">
        <v>0</v>
      </c>
      <c r="G17" s="16" t="s">
        <v>150</v>
      </c>
      <c r="H17" s="16" t="s">
        <v>151</v>
      </c>
      <c r="I17" s="16" t="s">
        <v>152</v>
      </c>
    </row>
    <row r="18" customFormat="false" ht="39.75" hidden="false" customHeight="true" outlineLevel="0" collapsed="false">
      <c r="A18" s="7" t="s">
        <v>153</v>
      </c>
      <c r="B18" s="25" t="s">
        <v>114</v>
      </c>
      <c r="D18" s="26" t="n">
        <v>0</v>
      </c>
      <c r="E18" s="26" t="n">
        <v>0</v>
      </c>
      <c r="F18" s="26" t="n">
        <v>0</v>
      </c>
      <c r="G18" s="16" t="s">
        <v>154</v>
      </c>
      <c r="I18" s="16" t="s">
        <v>155</v>
      </c>
    </row>
    <row r="19" customFormat="false" ht="39.75" hidden="false" customHeight="true" outlineLevel="0" collapsed="false">
      <c r="A19" s="18" t="s">
        <v>57</v>
      </c>
      <c r="B19" s="25" t="s">
        <v>122</v>
      </c>
      <c r="D19" s="19" t="n">
        <f aca="false">D11-D13+D17</f>
        <v>0</v>
      </c>
      <c r="E19" s="19" t="n">
        <f aca="false">E11-E13+E17</f>
        <v>0</v>
      </c>
      <c r="F19" s="19" t="n">
        <f aca="false">F11-F13+F17</f>
        <v>0</v>
      </c>
      <c r="G19" s="16" t="s">
        <v>156</v>
      </c>
      <c r="I19" s="16" t="s">
        <v>157</v>
      </c>
    </row>
    <row r="20" customFormat="false" ht="39.75" hidden="false" customHeight="true" outlineLevel="0" collapsed="false">
      <c r="A20" s="7" t="s">
        <v>158</v>
      </c>
      <c r="B20" s="25" t="s">
        <v>122</v>
      </c>
      <c r="D20" s="17" t="n">
        <f aca="false">IF(D8=0,0,D19/D8)</f>
        <v>0</v>
      </c>
      <c r="E20" s="17" t="n">
        <f aca="false">IF(E8=0,0,E19/E8)</f>
        <v>0</v>
      </c>
      <c r="F20" s="17" t="n">
        <f aca="false">IF(F8=0,0,F19/F8)</f>
        <v>0</v>
      </c>
      <c r="G20" s="16" t="s">
        <v>123</v>
      </c>
    </row>
    <row r="21" customFormat="false" ht="39.75" hidden="false" customHeight="true" outlineLevel="0" collapsed="false">
      <c r="A21" s="7" t="s">
        <v>159</v>
      </c>
      <c r="B21" s="25" t="s">
        <v>114</v>
      </c>
      <c r="D21" s="26" t="n">
        <v>0</v>
      </c>
      <c r="E21" s="26" t="n">
        <v>0</v>
      </c>
      <c r="F21" s="26" t="n">
        <v>0</v>
      </c>
      <c r="G21" s="16" t="s">
        <v>160</v>
      </c>
      <c r="H21" s="16" t="s">
        <v>161</v>
      </c>
      <c r="I21" s="16" t="s">
        <v>162</v>
      </c>
    </row>
    <row r="22" customFormat="false" ht="39.75" hidden="false" customHeight="true" outlineLevel="0" collapsed="false">
      <c r="A22" s="18" t="s">
        <v>163</v>
      </c>
      <c r="B22" s="25" t="s">
        <v>122</v>
      </c>
      <c r="D22" s="19" t="n">
        <f aca="false">D19-D21</f>
        <v>0</v>
      </c>
      <c r="E22" s="19" t="n">
        <f aca="false">E19-E21</f>
        <v>0</v>
      </c>
      <c r="F22" s="19" t="n">
        <f aca="false">F19-F21</f>
        <v>0</v>
      </c>
      <c r="G22" s="16" t="s">
        <v>123</v>
      </c>
    </row>
    <row r="23" customFormat="false" ht="39.75" hidden="false" customHeight="true" outlineLevel="0" collapsed="false">
      <c r="A23" s="7" t="s">
        <v>164</v>
      </c>
      <c r="B23" s="25" t="s">
        <v>114</v>
      </c>
      <c r="D23" s="26" t="n">
        <v>0</v>
      </c>
      <c r="E23" s="26" t="n">
        <v>0</v>
      </c>
      <c r="F23" s="26" t="n">
        <v>0</v>
      </c>
      <c r="G23" s="16" t="s">
        <v>165</v>
      </c>
      <c r="H23" s="16" t="s">
        <v>166</v>
      </c>
      <c r="I23" s="16" t="s">
        <v>167</v>
      </c>
    </row>
    <row r="24" customFormat="false" ht="39.75" hidden="false" customHeight="true" outlineLevel="0" collapsed="false">
      <c r="A24" s="7" t="s">
        <v>168</v>
      </c>
      <c r="B24" s="25" t="s">
        <v>122</v>
      </c>
      <c r="D24" s="15" t="n">
        <f aca="false">D22-D23</f>
        <v>0</v>
      </c>
      <c r="E24" s="15" t="n">
        <f aca="false">E22-E23</f>
        <v>0</v>
      </c>
      <c r="F24" s="15" t="n">
        <f aca="false">F22-F23</f>
        <v>0</v>
      </c>
      <c r="G24" s="16" t="s">
        <v>123</v>
      </c>
    </row>
    <row r="25" customFormat="false" ht="39.75" hidden="false" customHeight="true" outlineLevel="0" collapsed="false">
      <c r="A25" s="7" t="s">
        <v>169</v>
      </c>
      <c r="B25" s="25" t="s">
        <v>114</v>
      </c>
      <c r="D25" s="26" t="n">
        <v>0</v>
      </c>
      <c r="E25" s="26" t="n">
        <v>0</v>
      </c>
      <c r="F25" s="26" t="n">
        <v>0</v>
      </c>
      <c r="G25" s="16" t="s">
        <v>170</v>
      </c>
      <c r="H25" s="16" t="s">
        <v>171</v>
      </c>
      <c r="I25" s="16" t="s">
        <v>172</v>
      </c>
    </row>
    <row r="26" customFormat="false" ht="39.75" hidden="false" customHeight="true" outlineLevel="0" collapsed="false">
      <c r="A26" s="18" t="s">
        <v>173</v>
      </c>
      <c r="B26" s="25" t="s">
        <v>122</v>
      </c>
      <c r="D26" s="19" t="n">
        <f aca="false">D24-D25</f>
        <v>0</v>
      </c>
      <c r="E26" s="19" t="n">
        <f aca="false">E24-E25</f>
        <v>0</v>
      </c>
      <c r="F26" s="19" t="n">
        <f aca="false">F24-F25</f>
        <v>0</v>
      </c>
      <c r="G26" s="16" t="s">
        <v>123</v>
      </c>
    </row>
    <row r="27" customFormat="false" ht="39.75" hidden="false" customHeight="true" outlineLevel="0" collapsed="false">
      <c r="A27" s="7" t="s">
        <v>174</v>
      </c>
      <c r="B27" s="25" t="s">
        <v>114</v>
      </c>
      <c r="D27" s="26" t="n">
        <v>0</v>
      </c>
      <c r="E27" s="26" t="n">
        <v>0</v>
      </c>
      <c r="F27" s="26" t="n">
        <v>0</v>
      </c>
      <c r="G27" s="16" t="s">
        <v>175</v>
      </c>
      <c r="H27" s="16" t="s">
        <v>151</v>
      </c>
      <c r="I27" s="16" t="s">
        <v>176</v>
      </c>
    </row>
    <row r="28" customFormat="false" ht="39.75" hidden="false" customHeight="true" outlineLevel="0" collapsed="false">
      <c r="A28" s="7" t="s">
        <v>177</v>
      </c>
      <c r="B28" s="25" t="s">
        <v>122</v>
      </c>
      <c r="D28" s="15" t="n">
        <f aca="false">D26-D27</f>
        <v>0</v>
      </c>
      <c r="E28" s="15" t="n">
        <f aca="false">E26-E27</f>
        <v>0</v>
      </c>
      <c r="F28" s="15" t="n">
        <f aca="false">F26-F27</f>
        <v>0</v>
      </c>
      <c r="G28" s="16" t="s">
        <v>123</v>
      </c>
      <c r="I28" s="16" t="s">
        <v>178</v>
      </c>
    </row>
  </sheetData>
  <conditionalFormatting sqref="D28:F28">
    <cfRule type="cellIs" priority="2" operator="notBetween" aboveAverage="0" equalAverage="0" bottom="0" percent="0" rank="0" text="" dxfId="2">
      <formula>-0.5</formula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44"/>
    <col collapsed="false" customWidth="true" hidden="false" outlineLevel="0" max="8" min="8" style="0" width="34"/>
    <col collapsed="false" customWidth="true" hidden="false" outlineLevel="0" max="9" min="9" style="0" width="46"/>
  </cols>
  <sheetData>
    <row r="1" customFormat="false" ht="19.7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4" customFormat="false" ht="30" hidden="false" customHeight="true" outlineLevel="0" collapsed="false">
      <c r="A4" s="14" t="s">
        <v>181</v>
      </c>
      <c r="B4" s="14" t="s">
        <v>108</v>
      </c>
      <c r="C4" s="14" t="s">
        <v>182</v>
      </c>
      <c r="D4" s="14" t="s">
        <v>183</v>
      </c>
      <c r="E4" s="14" t="s">
        <v>184</v>
      </c>
      <c r="F4" s="14" t="s">
        <v>185</v>
      </c>
      <c r="G4" s="14" t="s">
        <v>109</v>
      </c>
      <c r="H4" s="14" t="s">
        <v>110</v>
      </c>
      <c r="I4" s="14" t="s">
        <v>111</v>
      </c>
    </row>
    <row r="5" customFormat="false" ht="15" hidden="false" customHeight="false" outlineLevel="0" collapsed="false">
      <c r="A5" s="3" t="s">
        <v>186</v>
      </c>
      <c r="B5" s="4"/>
      <c r="C5" s="4"/>
      <c r="D5" s="4"/>
      <c r="E5" s="4"/>
      <c r="F5" s="4"/>
      <c r="G5" s="4"/>
      <c r="H5" s="4"/>
      <c r="I5" s="4"/>
    </row>
    <row r="6" customFormat="false" ht="39.75" hidden="false" customHeight="true" outlineLevel="0" collapsed="false">
      <c r="A6" s="7" t="s">
        <v>187</v>
      </c>
      <c r="B6" s="25" t="s">
        <v>114</v>
      </c>
      <c r="C6" s="26" t="n">
        <v>0</v>
      </c>
      <c r="D6" s="26" t="n">
        <v>0</v>
      </c>
      <c r="E6" s="26" t="n">
        <v>0</v>
      </c>
      <c r="F6" s="26" t="n">
        <v>0</v>
      </c>
      <c r="G6" s="16" t="s">
        <v>188</v>
      </c>
      <c r="H6" s="16" t="s">
        <v>189</v>
      </c>
      <c r="I6" s="16" t="s">
        <v>190</v>
      </c>
    </row>
    <row r="7" customFormat="false" ht="39.75" hidden="false" customHeight="true" outlineLevel="0" collapsed="false">
      <c r="A7" s="7" t="s">
        <v>191</v>
      </c>
      <c r="B7" s="25" t="s">
        <v>114</v>
      </c>
      <c r="C7" s="26" t="n">
        <v>0</v>
      </c>
      <c r="D7" s="26" t="n">
        <v>0</v>
      </c>
      <c r="E7" s="26" t="n">
        <v>0</v>
      </c>
      <c r="F7" s="26" t="n">
        <v>0</v>
      </c>
      <c r="G7" s="16" t="s">
        <v>192</v>
      </c>
      <c r="H7" s="16" t="s">
        <v>193</v>
      </c>
      <c r="I7" s="16" t="s">
        <v>194</v>
      </c>
    </row>
    <row r="8" customFormat="false" ht="39.75" hidden="false" customHeight="true" outlineLevel="0" collapsed="false">
      <c r="A8" s="7" t="s">
        <v>195</v>
      </c>
      <c r="B8" s="25" t="s">
        <v>114</v>
      </c>
      <c r="C8" s="26" t="n">
        <v>0</v>
      </c>
      <c r="D8" s="26" t="n">
        <v>0</v>
      </c>
      <c r="E8" s="26" t="n">
        <v>0</v>
      </c>
      <c r="F8" s="26" t="n">
        <v>0</v>
      </c>
      <c r="G8" s="16" t="s">
        <v>196</v>
      </c>
      <c r="H8" s="16" t="s">
        <v>197</v>
      </c>
      <c r="I8" s="16" t="s">
        <v>198</v>
      </c>
    </row>
    <row r="9" customFormat="false" ht="39.75" hidden="false" customHeight="true" outlineLevel="0" collapsed="false">
      <c r="A9" s="7" t="s">
        <v>199</v>
      </c>
      <c r="B9" s="25" t="s">
        <v>114</v>
      </c>
      <c r="C9" s="26" t="n">
        <v>0</v>
      </c>
      <c r="D9" s="26" t="n">
        <v>0</v>
      </c>
      <c r="E9" s="26" t="n">
        <v>0</v>
      </c>
      <c r="F9" s="26" t="n">
        <v>0</v>
      </c>
      <c r="G9" s="16" t="s">
        <v>200</v>
      </c>
      <c r="H9" s="16" t="s">
        <v>201</v>
      </c>
      <c r="I9" s="16" t="s">
        <v>202</v>
      </c>
    </row>
    <row r="10" customFormat="false" ht="39.75" hidden="false" customHeight="true" outlineLevel="0" collapsed="false">
      <c r="A10" s="7" t="s">
        <v>203</v>
      </c>
      <c r="B10" s="25" t="s">
        <v>114</v>
      </c>
      <c r="C10" s="26" t="n">
        <v>0</v>
      </c>
      <c r="D10" s="26" t="n">
        <v>0</v>
      </c>
      <c r="E10" s="26" t="n">
        <v>0</v>
      </c>
      <c r="F10" s="26" t="n">
        <v>0</v>
      </c>
      <c r="G10" s="16" t="s">
        <v>204</v>
      </c>
      <c r="H10" s="16" t="s">
        <v>205</v>
      </c>
      <c r="I10" s="16" t="s">
        <v>206</v>
      </c>
    </row>
    <row r="11" customFormat="false" ht="39.75" hidden="false" customHeight="true" outlineLevel="0" collapsed="false">
      <c r="A11" s="7" t="s">
        <v>207</v>
      </c>
      <c r="B11" s="25" t="s">
        <v>114</v>
      </c>
      <c r="C11" s="26" t="n">
        <v>0</v>
      </c>
      <c r="D11" s="26" t="n">
        <v>0</v>
      </c>
      <c r="E11" s="26" t="n">
        <v>0</v>
      </c>
      <c r="F11" s="26" t="n">
        <v>0</v>
      </c>
      <c r="G11" s="16" t="s">
        <v>208</v>
      </c>
      <c r="H11" s="16" t="s">
        <v>209</v>
      </c>
      <c r="I11" s="16" t="s">
        <v>210</v>
      </c>
    </row>
    <row r="12" customFormat="false" ht="15" hidden="false" customHeight="false" outlineLevel="0" collapsed="false">
      <c r="A12" s="3" t="s">
        <v>211</v>
      </c>
      <c r="B12" s="4"/>
      <c r="C12" s="4"/>
      <c r="D12" s="4"/>
      <c r="E12" s="4"/>
      <c r="F12" s="4"/>
      <c r="G12" s="4"/>
      <c r="H12" s="4"/>
      <c r="I12" s="4"/>
    </row>
    <row r="13" customFormat="false" ht="39.75" hidden="false" customHeight="true" outlineLevel="0" collapsed="false">
      <c r="A13" s="7" t="s">
        <v>212</v>
      </c>
      <c r="B13" s="25" t="s">
        <v>114</v>
      </c>
      <c r="C13" s="26" t="n">
        <v>0</v>
      </c>
      <c r="D13" s="26" t="n">
        <v>0</v>
      </c>
      <c r="E13" s="26" t="n">
        <v>0</v>
      </c>
      <c r="F13" s="26" t="n">
        <v>0</v>
      </c>
      <c r="G13" s="16" t="s">
        <v>213</v>
      </c>
      <c r="H13" s="16" t="s">
        <v>214</v>
      </c>
      <c r="I13" s="16" t="s">
        <v>215</v>
      </c>
    </row>
    <row r="14" customFormat="false" ht="39.75" hidden="false" customHeight="true" outlineLevel="0" collapsed="false">
      <c r="A14" s="7" t="s">
        <v>216</v>
      </c>
      <c r="B14" s="25" t="s">
        <v>114</v>
      </c>
      <c r="C14" s="26" t="n">
        <v>0</v>
      </c>
      <c r="D14" s="26" t="n">
        <v>0</v>
      </c>
      <c r="E14" s="26" t="n">
        <v>0</v>
      </c>
      <c r="F14" s="26" t="n">
        <v>0</v>
      </c>
      <c r="G14" s="16" t="s">
        <v>217</v>
      </c>
      <c r="H14" s="16" t="s">
        <v>201</v>
      </c>
      <c r="I14" s="16" t="s">
        <v>218</v>
      </c>
    </row>
    <row r="15" customFormat="false" ht="39.75" hidden="false" customHeight="true" outlineLevel="0" collapsed="false">
      <c r="A15" s="7" t="s">
        <v>219</v>
      </c>
      <c r="B15" s="25" t="s">
        <v>114</v>
      </c>
      <c r="C15" s="26" t="n">
        <v>0</v>
      </c>
      <c r="D15" s="26" t="n">
        <v>0</v>
      </c>
      <c r="E15" s="26" t="n">
        <v>0</v>
      </c>
      <c r="F15" s="26" t="n">
        <v>0</v>
      </c>
      <c r="G15" s="16" t="s">
        <v>220</v>
      </c>
      <c r="H15" s="16" t="s">
        <v>221</v>
      </c>
      <c r="I15" s="16" t="s">
        <v>222</v>
      </c>
    </row>
    <row r="16" customFormat="false" ht="39.75" hidden="false" customHeight="true" outlineLevel="0" collapsed="false">
      <c r="A16" s="7" t="s">
        <v>223</v>
      </c>
      <c r="B16" s="25" t="s">
        <v>114</v>
      </c>
      <c r="C16" s="26" t="n">
        <v>0</v>
      </c>
      <c r="D16" s="26" t="n">
        <v>0</v>
      </c>
      <c r="E16" s="26" t="n">
        <v>0</v>
      </c>
      <c r="F16" s="26" t="n">
        <v>0</v>
      </c>
      <c r="G16" s="16" t="s">
        <v>224</v>
      </c>
      <c r="H16" s="16" t="s">
        <v>225</v>
      </c>
      <c r="I16" s="16" t="s">
        <v>226</v>
      </c>
    </row>
    <row r="17" customFormat="false" ht="39.75" hidden="false" customHeight="true" outlineLevel="0" collapsed="false">
      <c r="A17" s="7" t="s">
        <v>227</v>
      </c>
      <c r="B17" s="25" t="s">
        <v>114</v>
      </c>
      <c r="C17" s="26" t="n">
        <v>0</v>
      </c>
      <c r="D17" s="26" t="n">
        <v>0</v>
      </c>
      <c r="E17" s="26" t="n">
        <v>0</v>
      </c>
      <c r="F17" s="26" t="n">
        <v>0</v>
      </c>
      <c r="G17" s="16" t="s">
        <v>228</v>
      </c>
      <c r="H17" s="16" t="s">
        <v>229</v>
      </c>
      <c r="I17" s="16" t="s">
        <v>230</v>
      </c>
    </row>
    <row r="18" customFormat="false" ht="15" hidden="false" customHeight="false" outlineLevel="0" collapsed="false">
      <c r="A18" s="3" t="s">
        <v>231</v>
      </c>
      <c r="B18" s="4"/>
      <c r="C18" s="4"/>
      <c r="D18" s="4"/>
      <c r="E18" s="4"/>
      <c r="F18" s="4"/>
      <c r="G18" s="4"/>
      <c r="H18" s="4"/>
      <c r="I18" s="4"/>
    </row>
    <row r="19" customFormat="false" ht="39.75" hidden="false" customHeight="true" outlineLevel="0" collapsed="false">
      <c r="A19" s="18" t="s">
        <v>232</v>
      </c>
      <c r="B19" s="25" t="s">
        <v>122</v>
      </c>
      <c r="C19" s="19" t="n">
        <f aca="false">C7+C8+C9-C13-C14</f>
        <v>0</v>
      </c>
      <c r="D19" s="19" t="n">
        <f aca="false">D7+D8+D9-D13-D14</f>
        <v>0</v>
      </c>
      <c r="E19" s="19" t="n">
        <f aca="false">E7+E8+E9-E13-E14</f>
        <v>0</v>
      </c>
      <c r="F19" s="19" t="n">
        <f aca="false">F7+F8+F9-F13-F14</f>
        <v>0</v>
      </c>
      <c r="G19" s="16" t="s">
        <v>233</v>
      </c>
      <c r="I19" s="16" t="s">
        <v>234</v>
      </c>
    </row>
    <row r="20" customFormat="false" ht="39.75" hidden="false" customHeight="true" outlineLevel="0" collapsed="false">
      <c r="A20" s="7" t="s">
        <v>235</v>
      </c>
      <c r="B20" s="25" t="s">
        <v>122</v>
      </c>
      <c r="C20" s="27"/>
      <c r="D20" s="15" t="n">
        <f aca="false">D19-C19</f>
        <v>0</v>
      </c>
      <c r="E20" s="15" t="n">
        <f aca="false">E19-D19</f>
        <v>0</v>
      </c>
      <c r="F20" s="15" t="n">
        <f aca="false">F19-E19</f>
        <v>0</v>
      </c>
      <c r="G20" s="16" t="s">
        <v>236</v>
      </c>
      <c r="I20" s="16" t="s">
        <v>237</v>
      </c>
    </row>
    <row r="21" customFormat="false" ht="39.75" hidden="false" customHeight="true" outlineLevel="0" collapsed="false">
      <c r="A21" s="18" t="s">
        <v>238</v>
      </c>
      <c r="B21" s="25" t="s">
        <v>122</v>
      </c>
      <c r="C21" s="19" t="n">
        <f aca="false">C15+C16+C17</f>
        <v>0</v>
      </c>
      <c r="D21" s="19" t="n">
        <f aca="false">D15+D16+D17</f>
        <v>0</v>
      </c>
      <c r="E21" s="19" t="n">
        <f aca="false">E15+E16+E17</f>
        <v>0</v>
      </c>
      <c r="F21" s="19" t="n">
        <f aca="false">F15+F16+F17</f>
        <v>0</v>
      </c>
      <c r="G21" s="16" t="s">
        <v>123</v>
      </c>
    </row>
    <row r="22" customFormat="false" ht="39.75" hidden="false" customHeight="true" outlineLevel="0" collapsed="false">
      <c r="A22" s="18" t="s">
        <v>239</v>
      </c>
      <c r="B22" s="25" t="s">
        <v>122</v>
      </c>
      <c r="C22" s="19" t="n">
        <f aca="false">C21-C6</f>
        <v>0</v>
      </c>
      <c r="D22" s="19" t="n">
        <f aca="false">D21-D6</f>
        <v>0</v>
      </c>
      <c r="E22" s="19" t="n">
        <f aca="false">E21-E6</f>
        <v>0</v>
      </c>
      <c r="F22" s="19" t="n">
        <f aca="false">F21-F6</f>
        <v>0</v>
      </c>
      <c r="G22" s="16" t="s">
        <v>123</v>
      </c>
    </row>
    <row r="23" customFormat="false" ht="39.75" hidden="false" customHeight="true" outlineLevel="0" collapsed="false">
      <c r="A23" s="7" t="s">
        <v>240</v>
      </c>
      <c r="B23" s="25" t="s">
        <v>122</v>
      </c>
      <c r="C23" s="27"/>
      <c r="D23" s="21" t="n">
        <f aca="false">IF(1_DRE!D19=0,0,D22/1_DRE!D19)</f>
        <v>0</v>
      </c>
      <c r="E23" s="21" t="n">
        <f aca="false">IF(1_DRE!E19=0,0,E22/1_DRE!E19)</f>
        <v>0</v>
      </c>
      <c r="F23" s="21" t="n">
        <f aca="false">IF(1_DRE!F19=0,0,F22/1_DRE!F19)</f>
        <v>0</v>
      </c>
      <c r="G23" s="16" t="s">
        <v>123</v>
      </c>
      <c r="I23" s="16" t="s">
        <v>241</v>
      </c>
    </row>
    <row r="24" customFormat="false" ht="39.75" hidden="false" customHeight="true" outlineLevel="0" collapsed="false">
      <c r="A24" s="7" t="s">
        <v>242</v>
      </c>
      <c r="B24" s="25" t="s">
        <v>122</v>
      </c>
      <c r="C24" s="27"/>
      <c r="D24" s="28" t="n">
        <f aca="false">IF(1_DRE!D6=0,0,D7/1_DRE!D6*365)</f>
        <v>0</v>
      </c>
      <c r="E24" s="28" t="n">
        <f aca="false">IF(1_DRE!E6=0,0,E7/1_DRE!E6*365)</f>
        <v>0</v>
      </c>
      <c r="F24" s="28" t="n">
        <f aca="false">IF(1_DRE!F6=0,0,F7/1_DRE!F6*365)</f>
        <v>0</v>
      </c>
      <c r="G24" s="16" t="s">
        <v>243</v>
      </c>
      <c r="I24" s="16" t="s">
        <v>244</v>
      </c>
    </row>
    <row r="25" customFormat="false" ht="39.75" hidden="false" customHeight="true" outlineLevel="0" collapsed="false">
      <c r="A25" s="7" t="s">
        <v>245</v>
      </c>
      <c r="B25" s="25" t="s">
        <v>122</v>
      </c>
      <c r="C25" s="27"/>
      <c r="D25" s="28" t="n">
        <f aca="false">IF(1_DRE!D10=0,0,D8/1_DRE!D10*365)</f>
        <v>0</v>
      </c>
      <c r="E25" s="28" t="n">
        <f aca="false">IF(1_DRE!E10=0,0,E8/1_DRE!E10*365)</f>
        <v>0</v>
      </c>
      <c r="F25" s="28" t="n">
        <f aca="false">IF(1_DRE!F10=0,0,F8/1_DRE!F10*365)</f>
        <v>0</v>
      </c>
      <c r="G25" s="16" t="s">
        <v>246</v>
      </c>
    </row>
    <row r="26" customFormat="false" ht="39.75" hidden="false" customHeight="true" outlineLevel="0" collapsed="false">
      <c r="A26" s="7" t="s">
        <v>247</v>
      </c>
      <c r="B26" s="25" t="s">
        <v>122</v>
      </c>
      <c r="C26" s="27"/>
      <c r="D26" s="28" t="n">
        <f aca="false">IF(1_DRE!D10=0,0,D13/1_DRE!D10*365)</f>
        <v>0</v>
      </c>
      <c r="E26" s="28" t="n">
        <f aca="false">IF(1_DRE!E10=0,0,E13/1_DRE!E10*365)</f>
        <v>0</v>
      </c>
      <c r="F26" s="28" t="n">
        <f aca="false">IF(1_DRE!F10=0,0,F13/1_DRE!F10*365)</f>
        <v>0</v>
      </c>
      <c r="G26" s="16" t="s">
        <v>248</v>
      </c>
    </row>
    <row r="27" customFormat="false" ht="39.75" hidden="false" customHeight="true" outlineLevel="0" collapsed="false">
      <c r="A27" s="7" t="s">
        <v>249</v>
      </c>
      <c r="B27" s="25" t="s">
        <v>122</v>
      </c>
      <c r="C27" s="27"/>
      <c r="D27" s="28" t="n">
        <f aca="false">D24+D25-D26</f>
        <v>0</v>
      </c>
      <c r="E27" s="28" t="n">
        <f aca="false">E24+E25-E26</f>
        <v>0</v>
      </c>
      <c r="F27" s="28" t="n">
        <f aca="false">F24+F25-F26</f>
        <v>0</v>
      </c>
      <c r="G27" s="16" t="s">
        <v>250</v>
      </c>
      <c r="I27" s="16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6" min="4" style="0" width="12"/>
    <col collapsed="false" customWidth="true" hidden="false" outlineLevel="0" max="7" min="7" style="0" width="44"/>
    <col collapsed="false" customWidth="true" hidden="false" outlineLevel="0" max="8" min="8" style="0" width="34"/>
    <col collapsed="false" customWidth="true" hidden="false" outlineLevel="0" max="9" min="9" style="0" width="46"/>
  </cols>
  <sheetData>
    <row r="1" customFormat="false" ht="19.7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4" customFormat="false" ht="30" hidden="false" customHeight="true" outlineLevel="0" collapsed="false">
      <c r="A4" s="14" t="s">
        <v>107</v>
      </c>
      <c r="B4" s="14" t="s">
        <v>108</v>
      </c>
      <c r="D4" s="14" t="s">
        <v>52</v>
      </c>
      <c r="E4" s="14" t="s">
        <v>53</v>
      </c>
      <c r="F4" s="14" t="s">
        <v>54</v>
      </c>
      <c r="G4" s="14" t="s">
        <v>109</v>
      </c>
      <c r="H4" s="14" t="s">
        <v>110</v>
      </c>
      <c r="I4" s="14" t="s">
        <v>111</v>
      </c>
    </row>
    <row r="5" customFormat="false" ht="15" hidden="false" customHeight="false" outlineLevel="0" collapsed="false">
      <c r="A5" s="3" t="s">
        <v>254</v>
      </c>
      <c r="B5" s="4"/>
      <c r="C5" s="4"/>
      <c r="D5" s="4"/>
      <c r="E5" s="4"/>
      <c r="F5" s="4"/>
      <c r="G5" s="4"/>
      <c r="H5" s="4"/>
      <c r="I5" s="4"/>
    </row>
    <row r="6" customFormat="false" ht="39.75" hidden="false" customHeight="true" outlineLevel="0" collapsed="false">
      <c r="A6" s="7" t="s">
        <v>255</v>
      </c>
      <c r="B6" s="25" t="s">
        <v>114</v>
      </c>
      <c r="D6" s="26" t="n">
        <v>0</v>
      </c>
      <c r="E6" s="26" t="n">
        <v>0</v>
      </c>
      <c r="F6" s="26" t="n">
        <v>0</v>
      </c>
      <c r="G6" s="16" t="s">
        <v>256</v>
      </c>
      <c r="H6" s="16" t="s">
        <v>257</v>
      </c>
      <c r="I6" s="16" t="s">
        <v>258</v>
      </c>
    </row>
    <row r="7" customFormat="false" ht="39.75" hidden="false" customHeight="true" outlineLevel="0" collapsed="false">
      <c r="A7" s="7" t="s">
        <v>259</v>
      </c>
      <c r="B7" s="25" t="s">
        <v>114</v>
      </c>
      <c r="D7" s="26" t="n">
        <v>0</v>
      </c>
      <c r="E7" s="26" t="n">
        <v>0</v>
      </c>
      <c r="F7" s="26" t="n">
        <v>0</v>
      </c>
      <c r="G7" s="16" t="s">
        <v>260</v>
      </c>
      <c r="H7" s="16" t="s">
        <v>261</v>
      </c>
      <c r="I7" s="16" t="s">
        <v>262</v>
      </c>
    </row>
    <row r="8" customFormat="false" ht="15" hidden="false" customHeight="false" outlineLevel="0" collapsed="false">
      <c r="A8" s="3" t="s">
        <v>263</v>
      </c>
      <c r="B8" s="4"/>
      <c r="C8" s="4"/>
      <c r="D8" s="4"/>
      <c r="E8" s="4"/>
      <c r="F8" s="4"/>
      <c r="G8" s="4"/>
      <c r="H8" s="4"/>
      <c r="I8" s="4"/>
    </row>
    <row r="9" customFormat="false" ht="39.75" hidden="false" customHeight="true" outlineLevel="0" collapsed="false">
      <c r="A9" s="7" t="s">
        <v>264</v>
      </c>
      <c r="B9" s="25" t="s">
        <v>114</v>
      </c>
      <c r="D9" s="26" t="n">
        <v>0</v>
      </c>
      <c r="E9" s="26" t="n">
        <v>0</v>
      </c>
      <c r="F9" s="26" t="n">
        <v>0</v>
      </c>
      <c r="G9" s="16" t="s">
        <v>265</v>
      </c>
      <c r="H9" s="16" t="s">
        <v>266</v>
      </c>
      <c r="I9" s="16" t="s">
        <v>267</v>
      </c>
    </row>
    <row r="10" customFormat="false" ht="39.75" hidden="false" customHeight="true" outlineLevel="0" collapsed="false">
      <c r="A10" s="7" t="s">
        <v>268</v>
      </c>
      <c r="B10" s="25" t="s">
        <v>114</v>
      </c>
      <c r="D10" s="26" t="n">
        <v>0</v>
      </c>
      <c r="E10" s="26" t="n">
        <v>0</v>
      </c>
      <c r="F10" s="26" t="n">
        <v>0</v>
      </c>
      <c r="G10" s="16" t="s">
        <v>269</v>
      </c>
      <c r="H10" s="16" t="s">
        <v>270</v>
      </c>
      <c r="I10" s="16" t="s">
        <v>271</v>
      </c>
    </row>
    <row r="11" customFormat="false" ht="39.75" hidden="false" customHeight="true" outlineLevel="0" collapsed="false">
      <c r="A11" s="18" t="s">
        <v>272</v>
      </c>
      <c r="B11" s="25" t="s">
        <v>122</v>
      </c>
      <c r="D11" s="19" t="n">
        <f aca="false">D9+D10</f>
        <v>0</v>
      </c>
      <c r="E11" s="19" t="n">
        <f aca="false">E9+E10</f>
        <v>0</v>
      </c>
      <c r="F11" s="19" t="n">
        <f aca="false">F9+F10</f>
        <v>0</v>
      </c>
      <c r="G11" s="16" t="s">
        <v>123</v>
      </c>
    </row>
    <row r="12" customFormat="false" ht="15" hidden="false" customHeight="false" outlineLevel="0" collapsed="false">
      <c r="A12" s="3" t="s">
        <v>273</v>
      </c>
      <c r="B12" s="4"/>
      <c r="C12" s="4"/>
      <c r="D12" s="4"/>
      <c r="E12" s="4"/>
      <c r="F12" s="4"/>
      <c r="G12" s="4"/>
      <c r="H12" s="4"/>
      <c r="I12" s="4"/>
    </row>
    <row r="13" customFormat="false" ht="39.75" hidden="false" customHeight="true" outlineLevel="0" collapsed="false">
      <c r="A13" s="18" t="s">
        <v>274</v>
      </c>
      <c r="B13" s="25" t="s">
        <v>122</v>
      </c>
      <c r="D13" s="19" t="n">
        <f aca="false">D6-D11</f>
        <v>0</v>
      </c>
      <c r="E13" s="19" t="n">
        <f aca="false">E6-E11</f>
        <v>0</v>
      </c>
      <c r="F13" s="19" t="n">
        <f aca="false">F6-F11</f>
        <v>0</v>
      </c>
      <c r="G13" s="16" t="s">
        <v>123</v>
      </c>
      <c r="I13" s="16" t="s">
        <v>275</v>
      </c>
    </row>
    <row r="14" customFormat="false" ht="39.75" hidden="false" customHeight="true" outlineLevel="0" collapsed="false">
      <c r="A14" s="7" t="s">
        <v>276</v>
      </c>
      <c r="B14" s="25" t="s">
        <v>122</v>
      </c>
      <c r="D14" s="15" t="n">
        <f aca="false">D13+D7</f>
        <v>0</v>
      </c>
      <c r="E14" s="15" t="n">
        <f aca="false">E13+E7</f>
        <v>0</v>
      </c>
      <c r="F14" s="15" t="n">
        <f aca="false">F13+F7</f>
        <v>0</v>
      </c>
      <c r="G14" s="16" t="s">
        <v>123</v>
      </c>
      <c r="I14" s="16" t="s">
        <v>277</v>
      </c>
    </row>
    <row r="15" customFormat="false" ht="39.75" hidden="false" customHeight="true" outlineLevel="0" collapsed="false">
      <c r="A15" s="7" t="s">
        <v>278</v>
      </c>
      <c r="B15" s="25" t="s">
        <v>122</v>
      </c>
      <c r="D15" s="17" t="n">
        <f aca="false">IF(1_DRE!D19=0,0,D14/1_DRE!D19)</f>
        <v>0</v>
      </c>
      <c r="E15" s="17" t="n">
        <f aca="false">IF(1_DRE!E19=0,0,E14/1_DRE!E19)</f>
        <v>0</v>
      </c>
      <c r="F15" s="17" t="n">
        <f aca="false">IF(1_DRE!F19=0,0,F14/1_DRE!F19)</f>
        <v>0</v>
      </c>
      <c r="G15" s="16" t="s">
        <v>123</v>
      </c>
      <c r="I15" s="16" t="s">
        <v>279</v>
      </c>
    </row>
    <row r="16" customFormat="false" ht="15" hidden="false" customHeight="false" outlineLevel="0" collapsed="false">
      <c r="A16" s="3" t="s">
        <v>280</v>
      </c>
      <c r="B16" s="4"/>
      <c r="C16" s="4"/>
      <c r="D16" s="4"/>
      <c r="E16" s="4"/>
      <c r="F16" s="4"/>
      <c r="G16" s="4"/>
      <c r="H16" s="4"/>
      <c r="I16" s="4"/>
    </row>
    <row r="17" customFormat="false" ht="39.75" hidden="false" customHeight="true" outlineLevel="0" collapsed="false">
      <c r="A17" s="7" t="s">
        <v>281</v>
      </c>
      <c r="B17" s="25" t="s">
        <v>282</v>
      </c>
      <c r="D17" s="15" t="n">
        <f aca="false">1_DRE!D26</f>
        <v>0</v>
      </c>
      <c r="E17" s="15" t="n">
        <f aca="false">1_DRE!E26</f>
        <v>0</v>
      </c>
      <c r="F17" s="15" t="n">
        <f aca="false">1_DRE!F26</f>
        <v>0</v>
      </c>
      <c r="G17" s="16" t="s">
        <v>283</v>
      </c>
    </row>
    <row r="18" customFormat="false" ht="39.75" hidden="false" customHeight="true" outlineLevel="0" collapsed="false">
      <c r="A18" s="7" t="s">
        <v>284</v>
      </c>
      <c r="B18" s="25" t="s">
        <v>282</v>
      </c>
      <c r="D18" s="15" t="n">
        <f aca="false">1_DRE!D21</f>
        <v>0</v>
      </c>
      <c r="E18" s="15" t="n">
        <f aca="false">1_DRE!E21</f>
        <v>0</v>
      </c>
      <c r="F18" s="15" t="n">
        <f aca="false">1_DRE!F21</f>
        <v>0</v>
      </c>
      <c r="G18" s="16" t="s">
        <v>283</v>
      </c>
    </row>
    <row r="19" customFormat="false" ht="39.75" hidden="false" customHeight="true" outlineLevel="0" collapsed="false">
      <c r="A19" s="7" t="s">
        <v>285</v>
      </c>
      <c r="B19" s="25" t="s">
        <v>282</v>
      </c>
      <c r="D19" s="15" t="n">
        <f aca="false">2_Balanco!D20</f>
        <v>0</v>
      </c>
      <c r="E19" s="15" t="n">
        <f aca="false">2_Balanco!E20</f>
        <v>0</v>
      </c>
      <c r="F19" s="15" t="n">
        <f aca="false">2_Balanco!F20</f>
        <v>0</v>
      </c>
      <c r="G19" s="16" t="s">
        <v>286</v>
      </c>
    </row>
    <row r="20" customFormat="false" ht="39.75" hidden="false" customHeight="true" outlineLevel="0" collapsed="false">
      <c r="A20" s="18" t="s">
        <v>287</v>
      </c>
      <c r="B20" s="25" t="s">
        <v>122</v>
      </c>
      <c r="D20" s="19" t="n">
        <f aca="false">D17+D18-D19</f>
        <v>0</v>
      </c>
      <c r="E20" s="19" t="n">
        <f aca="false">E17+E18-E19</f>
        <v>0</v>
      </c>
      <c r="F20" s="19" t="n">
        <f aca="false">F17+F18-F19</f>
        <v>0</v>
      </c>
      <c r="G20" s="16" t="s">
        <v>123</v>
      </c>
      <c r="I20" s="16" t="s">
        <v>288</v>
      </c>
    </row>
    <row r="21" customFormat="false" ht="39.75" hidden="false" customHeight="true" outlineLevel="0" collapsed="false">
      <c r="A21" s="7" t="s">
        <v>289</v>
      </c>
      <c r="B21" s="25" t="s">
        <v>122</v>
      </c>
      <c r="D21" s="15" t="n">
        <f aca="false">D6-D20</f>
        <v>0</v>
      </c>
      <c r="E21" s="15" t="n">
        <f aca="false">E6-E20</f>
        <v>0</v>
      </c>
      <c r="F21" s="15" t="n">
        <f aca="false">F6-F20</f>
        <v>0</v>
      </c>
      <c r="G21" s="16" t="s">
        <v>123</v>
      </c>
      <c r="I21" s="16" t="s">
        <v>290</v>
      </c>
    </row>
    <row r="22" customFormat="false" ht="15" hidden="false" customHeight="false" outlineLevel="0" collapsed="false">
      <c r="A22" s="3" t="s">
        <v>291</v>
      </c>
      <c r="B22" s="4"/>
      <c r="C22" s="4"/>
      <c r="D22" s="4"/>
      <c r="E22" s="4"/>
      <c r="F22" s="4"/>
      <c r="G22" s="4"/>
      <c r="H22" s="4"/>
      <c r="I22" s="4"/>
    </row>
    <row r="23" customFormat="false" ht="39.75" hidden="false" customHeight="true" outlineLevel="0" collapsed="false">
      <c r="A23" s="7" t="s">
        <v>292</v>
      </c>
      <c r="B23" s="25" t="s">
        <v>282</v>
      </c>
      <c r="D23" s="15" t="n">
        <f aca="false">2_Balanco!C10+2_Balanco!C11</f>
        <v>0</v>
      </c>
      <c r="E23" s="15" t="n">
        <f aca="false">2_Balanco!D10+2_Balanco!D11</f>
        <v>0</v>
      </c>
      <c r="F23" s="15" t="n">
        <f aca="false">2_Balanco!E10+2_Balanco!E11</f>
        <v>0</v>
      </c>
      <c r="G23" s="16" t="s">
        <v>286</v>
      </c>
    </row>
    <row r="24" customFormat="false" ht="39.75" hidden="false" customHeight="true" outlineLevel="0" collapsed="false">
      <c r="A24" s="7" t="s">
        <v>293</v>
      </c>
      <c r="B24" s="25" t="s">
        <v>122</v>
      </c>
      <c r="D24" s="15" t="n">
        <f aca="false">D23+D11-1_DRE!D21</f>
        <v>0</v>
      </c>
      <c r="E24" s="15" t="n">
        <f aca="false">E23+E11-1_DRE!E21</f>
        <v>0</v>
      </c>
      <c r="F24" s="15" t="n">
        <f aca="false">F23+F11-1_DRE!F21</f>
        <v>0</v>
      </c>
      <c r="G24" s="16" t="s">
        <v>123</v>
      </c>
    </row>
    <row r="25" customFormat="false" ht="39.75" hidden="false" customHeight="true" outlineLevel="0" collapsed="false">
      <c r="A25" s="7" t="s">
        <v>294</v>
      </c>
      <c r="B25" s="25" t="s">
        <v>282</v>
      </c>
      <c r="D25" s="15" t="n">
        <f aca="false">2_Balanco!D10+2_Balanco!D11</f>
        <v>0</v>
      </c>
      <c r="E25" s="15" t="n">
        <f aca="false">2_Balanco!E10+2_Balanco!E11</f>
        <v>0</v>
      </c>
      <c r="F25" s="15" t="n">
        <f aca="false">2_Balanco!F10+2_Balanco!F11</f>
        <v>0</v>
      </c>
      <c r="G25" s="16" t="s">
        <v>286</v>
      </c>
    </row>
    <row r="26" customFormat="false" ht="39.75" hidden="false" customHeight="true" outlineLevel="0" collapsed="false">
      <c r="A26" s="7" t="s">
        <v>295</v>
      </c>
      <c r="B26" s="25" t="s">
        <v>122</v>
      </c>
      <c r="D26" s="15" t="n">
        <f aca="false">D25-D24</f>
        <v>0</v>
      </c>
      <c r="E26" s="15" t="n">
        <f aca="false">E25-E24</f>
        <v>0</v>
      </c>
      <c r="F26" s="15" t="n">
        <f aca="false">F25-F24</f>
        <v>0</v>
      </c>
      <c r="G26" s="16" t="s">
        <v>123</v>
      </c>
      <c r="I26" s="16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70"/>
  </cols>
  <sheetData>
    <row r="1" customFormat="false" ht="19.7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</row>
    <row r="4" customFormat="false" ht="30" hidden="false" customHeight="true" outlineLevel="0" collapsed="false">
      <c r="A4" s="14" t="s">
        <v>299</v>
      </c>
      <c r="B4" s="14" t="s">
        <v>108</v>
      </c>
      <c r="D4" s="14" t="s">
        <v>52</v>
      </c>
      <c r="E4" s="14" t="s">
        <v>53</v>
      </c>
      <c r="F4" s="14" t="s">
        <v>54</v>
      </c>
      <c r="G4" s="14" t="s">
        <v>300</v>
      </c>
      <c r="H4" s="14" t="s">
        <v>301</v>
      </c>
    </row>
    <row r="5" customFormat="false" ht="15" hidden="false" customHeight="false" outlineLevel="0" collapsed="false">
      <c r="A5" s="3" t="s">
        <v>302</v>
      </c>
      <c r="B5" s="4"/>
      <c r="C5" s="4"/>
      <c r="D5" s="4"/>
      <c r="E5" s="4"/>
      <c r="F5" s="4"/>
      <c r="G5" s="4"/>
      <c r="H5" s="4"/>
    </row>
    <row r="6" customFormat="false" ht="31.5" hidden="false" customHeight="true" outlineLevel="0" collapsed="false">
      <c r="A6" s="7" t="s">
        <v>303</v>
      </c>
      <c r="B6" s="25" t="s">
        <v>282</v>
      </c>
      <c r="D6" s="15" t="n">
        <f aca="false">1_DRE!D19</f>
        <v>0</v>
      </c>
      <c r="E6" s="15" t="n">
        <f aca="false">1_DRE!E19</f>
        <v>0</v>
      </c>
      <c r="F6" s="15" t="n">
        <f aca="false">1_DRE!F19</f>
        <v>0</v>
      </c>
      <c r="G6" s="29" t="n">
        <f aca="false">SUMPRODUCT(D6:F6,$D$19:$F$19)</f>
        <v>0</v>
      </c>
      <c r="H6" s="16" t="s">
        <v>304</v>
      </c>
    </row>
    <row r="7" customFormat="false" ht="31.5" hidden="false" customHeight="true" outlineLevel="0" collapsed="false">
      <c r="A7" s="7" t="s">
        <v>305</v>
      </c>
      <c r="B7" s="25" t="s">
        <v>282</v>
      </c>
      <c r="D7" s="15" t="n">
        <f aca="false">1_DRE!D14</f>
        <v>0</v>
      </c>
      <c r="E7" s="15" t="n">
        <f aca="false">1_DRE!E14</f>
        <v>0</v>
      </c>
      <c r="F7" s="15" t="n">
        <f aca="false">1_DRE!F14</f>
        <v>0</v>
      </c>
      <c r="H7" s="16" t="s">
        <v>306</v>
      </c>
    </row>
    <row r="8" customFormat="false" ht="31.5" hidden="false" customHeight="true" outlineLevel="0" collapsed="false">
      <c r="A8" s="7" t="s">
        <v>307</v>
      </c>
      <c r="B8" s="25" t="s">
        <v>282</v>
      </c>
      <c r="D8" s="15" t="n">
        <f aca="false">1_DRE!D15</f>
        <v>0</v>
      </c>
      <c r="E8" s="15" t="n">
        <f aca="false">1_DRE!E15</f>
        <v>0</v>
      </c>
      <c r="F8" s="15" t="n">
        <f aca="false">1_DRE!F15</f>
        <v>0</v>
      </c>
      <c r="H8" s="16" t="s">
        <v>308</v>
      </c>
    </row>
    <row r="9" customFormat="false" ht="31.5" hidden="false" customHeight="true" outlineLevel="0" collapsed="false">
      <c r="A9" s="7" t="s">
        <v>309</v>
      </c>
      <c r="B9" s="25" t="s">
        <v>282</v>
      </c>
      <c r="D9" s="15" t="n">
        <f aca="false">1_DRE!D16</f>
        <v>0</v>
      </c>
      <c r="E9" s="15" t="n">
        <f aca="false">1_DRE!E16</f>
        <v>20</v>
      </c>
      <c r="F9" s="15" t="n">
        <f aca="false">1_DRE!F16</f>
        <v>0</v>
      </c>
      <c r="H9" s="16" t="s">
        <v>310</v>
      </c>
    </row>
    <row r="10" customFormat="false" ht="31.5" hidden="false" customHeight="true" outlineLevel="0" collapsed="false">
      <c r="A10" s="7" t="s">
        <v>311</v>
      </c>
      <c r="B10" s="25" t="s">
        <v>282</v>
      </c>
      <c r="D10" s="15" t="n">
        <f aca="false">1_DRE!D18</f>
        <v>0</v>
      </c>
      <c r="E10" s="15" t="n">
        <f aca="false">1_DRE!E18</f>
        <v>0</v>
      </c>
      <c r="F10" s="15" t="n">
        <f aca="false">1_DRE!F18</f>
        <v>0</v>
      </c>
      <c r="H10" s="16" t="s">
        <v>312</v>
      </c>
    </row>
    <row r="11" customFormat="false" ht="31.5" hidden="false" customHeight="true" outlineLevel="0" collapsed="false">
      <c r="A11" s="7" t="s">
        <v>313</v>
      </c>
      <c r="B11" s="25" t="s">
        <v>114</v>
      </c>
      <c r="D11" s="26" t="n">
        <v>0</v>
      </c>
      <c r="E11" s="26" t="n">
        <v>0</v>
      </c>
      <c r="F11" s="26" t="n">
        <v>0</v>
      </c>
      <c r="H11" s="16" t="s">
        <v>314</v>
      </c>
    </row>
    <row r="12" customFormat="false" ht="31.5" hidden="false" customHeight="true" outlineLevel="0" collapsed="false">
      <c r="A12" s="18" t="s">
        <v>315</v>
      </c>
      <c r="B12" s="25" t="s">
        <v>122</v>
      </c>
      <c r="D12" s="19" t="n">
        <f aca="false">D6+D7+D8+D9-D10-D11</f>
        <v>0</v>
      </c>
      <c r="E12" s="19" t="n">
        <f aca="false">E6+E7+E8+E9-E10-E11</f>
        <v>20</v>
      </c>
      <c r="F12" s="19" t="n">
        <f aca="false">F6+F7+F8+F9-F10-F11</f>
        <v>0</v>
      </c>
      <c r="G12" s="20" t="n">
        <f aca="false">SUMPRODUCT(D12:F12,$D$19:$F$19)</f>
        <v>6</v>
      </c>
      <c r="H12" s="16" t="s">
        <v>316</v>
      </c>
    </row>
    <row r="13" customFormat="false" ht="31.5" hidden="false" customHeight="true" outlineLevel="0" collapsed="false">
      <c r="A13" s="7" t="s">
        <v>317</v>
      </c>
      <c r="B13" s="25" t="s">
        <v>122</v>
      </c>
      <c r="D13" s="17" t="n">
        <f aca="false">IF(1_DRE!D8=0,0,D12/1_DRE!D8)</f>
        <v>0</v>
      </c>
      <c r="E13" s="17" t="n">
        <f aca="false">IF(1_DRE!E8=0,0,E12/1_DRE!E8)</f>
        <v>0</v>
      </c>
      <c r="F13" s="17" t="n">
        <f aca="false">IF(1_DRE!F8=0,0,F12/1_DRE!F8)</f>
        <v>0</v>
      </c>
      <c r="H13" s="16" t="s">
        <v>318</v>
      </c>
    </row>
    <row r="14" customFormat="false" ht="15" hidden="false" customHeight="false" outlineLevel="0" collapsed="false">
      <c r="A14" s="3" t="s">
        <v>319</v>
      </c>
      <c r="B14" s="4"/>
      <c r="C14" s="4"/>
      <c r="D14" s="4"/>
      <c r="E14" s="4"/>
      <c r="F14" s="4"/>
      <c r="G14" s="4"/>
      <c r="H14" s="4"/>
    </row>
    <row r="15" customFormat="false" ht="31.5" hidden="false" customHeight="true" outlineLevel="0" collapsed="false">
      <c r="A15" s="7" t="s">
        <v>320</v>
      </c>
      <c r="B15" s="25" t="s">
        <v>114</v>
      </c>
      <c r="D15" s="26" t="n">
        <v>0</v>
      </c>
      <c r="E15" s="26" t="n">
        <v>0</v>
      </c>
      <c r="F15" s="26" t="n">
        <v>0</v>
      </c>
      <c r="G15" s="29" t="n">
        <f aca="false">SUMPRODUCT(D15:F15,$D$19:$F$19)</f>
        <v>0</v>
      </c>
      <c r="H15" s="16" t="s">
        <v>321</v>
      </c>
    </row>
    <row r="16" customFormat="false" ht="31.5" hidden="false" customHeight="true" outlineLevel="0" collapsed="false">
      <c r="A16" s="18" t="s">
        <v>322</v>
      </c>
      <c r="B16" s="25" t="s">
        <v>122</v>
      </c>
      <c r="D16" s="19" t="n">
        <f aca="false">D12-D15</f>
        <v>0</v>
      </c>
      <c r="E16" s="19" t="n">
        <f aca="false">E12-E15</f>
        <v>20</v>
      </c>
      <c r="F16" s="19" t="n">
        <f aca="false">F12-F15</f>
        <v>0</v>
      </c>
      <c r="G16" s="20" t="n">
        <f aca="false">SUMPRODUCT(D16:F16,$D$19:$F$19)</f>
        <v>6</v>
      </c>
      <c r="H16" s="16" t="s">
        <v>323</v>
      </c>
    </row>
    <row r="17" customFormat="false" ht="31.5" hidden="false" customHeight="true" outlineLevel="0" collapsed="false">
      <c r="A17" s="7" t="s">
        <v>324</v>
      </c>
      <c r="B17" s="25" t="s">
        <v>122</v>
      </c>
      <c r="D17" s="17" t="n">
        <f aca="false">IF(1_DRE!D8=0,0,D16/1_DRE!D8)</f>
        <v>0</v>
      </c>
      <c r="E17" s="17" t="n">
        <f aca="false">IF(1_DRE!E8=0,0,E16/1_DRE!E8)</f>
        <v>0</v>
      </c>
      <c r="F17" s="17" t="n">
        <f aca="false">IF(1_DRE!F8=0,0,F16/1_DRE!F8)</f>
        <v>0</v>
      </c>
    </row>
    <row r="18" customFormat="false" ht="15" hidden="false" customHeight="false" outlineLevel="0" collapsed="false">
      <c r="A18" s="3" t="s">
        <v>325</v>
      </c>
      <c r="B18" s="4"/>
      <c r="C18" s="4"/>
      <c r="D18" s="4"/>
      <c r="E18" s="4"/>
      <c r="F18" s="4"/>
      <c r="G18" s="4"/>
      <c r="H18" s="4"/>
    </row>
    <row r="19" customFormat="false" ht="31.5" hidden="false" customHeight="true" outlineLevel="0" collapsed="false">
      <c r="A19" s="7" t="s">
        <v>326</v>
      </c>
      <c r="B19" s="25" t="s">
        <v>327</v>
      </c>
      <c r="D19" s="30" t="n">
        <v>0.2</v>
      </c>
      <c r="E19" s="30" t="n">
        <v>0.3</v>
      </c>
      <c r="F19" s="30" t="n">
        <v>0.5</v>
      </c>
      <c r="H19" s="16" t="s">
        <v>328</v>
      </c>
    </row>
    <row r="20" customFormat="false" ht="31.5" hidden="false" customHeight="true" outlineLevel="0" collapsed="false">
      <c r="A20" s="7" t="s">
        <v>329</v>
      </c>
      <c r="B20" s="25" t="s">
        <v>122</v>
      </c>
      <c r="G20" s="17" t="n">
        <f aca="false">SUM(D19:F19)</f>
        <v>1</v>
      </c>
      <c r="H20" s="16" t="s">
        <v>330</v>
      </c>
    </row>
  </sheetData>
  <conditionalFormatting sqref="G20">
    <cfRule type="cellIs" priority="2" operator="not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8" min="2" style="0" width="12"/>
    <col collapsed="false" customWidth="true" hidden="false" outlineLevel="0" max="9" min="9" style="0" width="60"/>
  </cols>
  <sheetData>
    <row r="1" customFormat="false" ht="19.7" hidden="false" customHeight="false" outlineLevel="0" collapsed="false">
      <c r="A1" s="1" t="s">
        <v>331</v>
      </c>
    </row>
    <row r="2" customFormat="false" ht="15" hidden="false" customHeight="false" outlineLevel="0" collapsed="false">
      <c r="A2" s="2" t="s">
        <v>332</v>
      </c>
    </row>
    <row r="4" customFormat="false" ht="15" hidden="false" customHeight="false" outlineLevel="0" collapsed="false">
      <c r="A4" s="3" t="s">
        <v>333</v>
      </c>
      <c r="B4" s="4"/>
      <c r="C4" s="4"/>
      <c r="D4" s="4"/>
      <c r="E4" s="4"/>
      <c r="F4" s="4"/>
      <c r="G4" s="4"/>
      <c r="H4" s="4"/>
      <c r="I4" s="4"/>
    </row>
    <row r="5" customFormat="false" ht="30" hidden="false" customHeight="true" outlineLevel="0" collapsed="false">
      <c r="A5" s="14" t="s">
        <v>334</v>
      </c>
      <c r="B5" s="14" t="s">
        <v>335</v>
      </c>
      <c r="C5" s="14" t="s">
        <v>69</v>
      </c>
      <c r="D5" s="14" t="s">
        <v>70</v>
      </c>
      <c r="E5" s="14" t="s">
        <v>71</v>
      </c>
      <c r="I5" s="14" t="s">
        <v>301</v>
      </c>
    </row>
    <row r="6" customFormat="false" ht="15" hidden="false" customHeight="false" outlineLevel="0" collapsed="false">
      <c r="A6" s="7" t="s">
        <v>336</v>
      </c>
      <c r="B6" s="15" t="n">
        <f aca="false">4_Normalizacao!G12</f>
        <v>6</v>
      </c>
      <c r="I6" s="16" t="s">
        <v>337</v>
      </c>
    </row>
    <row r="7" customFormat="false" ht="39.75" hidden="false" customHeight="true" outlineLevel="0" collapsed="false">
      <c r="A7" s="7" t="s">
        <v>338</v>
      </c>
      <c r="C7" s="31" t="n">
        <v>2.5</v>
      </c>
      <c r="D7" s="31" t="n">
        <v>3</v>
      </c>
      <c r="E7" s="31" t="n">
        <v>3.5</v>
      </c>
      <c r="I7" s="16" t="s">
        <v>339</v>
      </c>
    </row>
    <row r="8" customFormat="false" ht="15" hidden="false" customHeight="false" outlineLevel="0" collapsed="false">
      <c r="A8" s="18" t="s">
        <v>340</v>
      </c>
      <c r="C8" s="19" t="n">
        <f aca="false">$B$6*C7</f>
        <v>15</v>
      </c>
      <c r="D8" s="19" t="n">
        <f aca="false">$B$6*D7</f>
        <v>18</v>
      </c>
      <c r="E8" s="19" t="n">
        <f aca="false">$B$6*E7</f>
        <v>21</v>
      </c>
    </row>
    <row r="10" customFormat="false" ht="15" hidden="false" customHeight="false" outlineLevel="0" collapsed="false">
      <c r="A10" s="3" t="s">
        <v>341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14" t="s">
        <v>334</v>
      </c>
      <c r="B11" s="14" t="s">
        <v>335</v>
      </c>
      <c r="C11" s="14" t="s">
        <v>69</v>
      </c>
      <c r="D11" s="14" t="s">
        <v>70</v>
      </c>
      <c r="E11" s="14" t="s">
        <v>71</v>
      </c>
      <c r="I11" s="14" t="s">
        <v>301</v>
      </c>
    </row>
    <row r="12" customFormat="false" ht="30" hidden="false" customHeight="true" outlineLevel="0" collapsed="false">
      <c r="A12" s="7" t="s">
        <v>342</v>
      </c>
      <c r="B12" s="15" t="n">
        <f aca="false">4_Normalizacao!F16</f>
        <v>0</v>
      </c>
      <c r="I12" s="16" t="s">
        <v>343</v>
      </c>
    </row>
    <row r="13" customFormat="false" ht="30" hidden="false" customHeight="true" outlineLevel="0" collapsed="false">
      <c r="A13" s="7" t="s">
        <v>344</v>
      </c>
      <c r="C13" s="31" t="n">
        <v>3.5</v>
      </c>
      <c r="D13" s="31" t="n">
        <v>4</v>
      </c>
      <c r="E13" s="31" t="n">
        <v>5</v>
      </c>
      <c r="I13" s="16" t="s">
        <v>345</v>
      </c>
    </row>
    <row r="14" customFormat="false" ht="15" hidden="false" customHeight="false" outlineLevel="0" collapsed="false">
      <c r="A14" s="18" t="s">
        <v>346</v>
      </c>
      <c r="C14" s="19" t="n">
        <f aca="false">$B$12*C13</f>
        <v>0</v>
      </c>
      <c r="D14" s="19" t="n">
        <f aca="false">$B$12*D13</f>
        <v>0</v>
      </c>
      <c r="E14" s="19" t="n">
        <f aca="false">$B$12*E13</f>
        <v>0</v>
      </c>
    </row>
    <row r="16" customFormat="false" ht="15" hidden="false" customHeight="false" outlineLevel="0" collapsed="false">
      <c r="A16" s="3" t="s">
        <v>347</v>
      </c>
      <c r="B16" s="4"/>
      <c r="C16" s="4"/>
      <c r="D16" s="4"/>
      <c r="E16" s="4"/>
      <c r="F16" s="4"/>
      <c r="G16" s="4"/>
      <c r="H16" s="4"/>
      <c r="I16" s="4"/>
    </row>
    <row r="17" customFormat="false" ht="30" hidden="false" customHeight="true" outlineLevel="0" collapsed="false">
      <c r="A17" s="14" t="s">
        <v>348</v>
      </c>
      <c r="B17" s="14" t="s">
        <v>349</v>
      </c>
      <c r="C17" s="14" t="s">
        <v>350</v>
      </c>
      <c r="D17" s="14" t="s">
        <v>351</v>
      </c>
      <c r="E17" s="14" t="s">
        <v>352</v>
      </c>
      <c r="F17" s="14" t="s">
        <v>353</v>
      </c>
      <c r="G17" s="14" t="s">
        <v>354</v>
      </c>
      <c r="H17" s="14" t="s">
        <v>355</v>
      </c>
      <c r="I17" s="14" t="s">
        <v>301</v>
      </c>
    </row>
    <row r="18" customFormat="false" ht="15" hidden="false" customHeight="false" outlineLevel="0" collapsed="false">
      <c r="A18" s="7" t="s">
        <v>356</v>
      </c>
      <c r="D18" s="24" t="n">
        <v>1</v>
      </c>
      <c r="E18" s="24" t="n">
        <v>2</v>
      </c>
      <c r="F18" s="24" t="n">
        <v>3</v>
      </c>
      <c r="G18" s="24" t="n">
        <v>4</v>
      </c>
      <c r="H18" s="24" t="n">
        <v>5</v>
      </c>
    </row>
    <row r="19" customFormat="false" ht="30" hidden="false" customHeight="true" outlineLevel="0" collapsed="false">
      <c r="A19" s="7" t="s">
        <v>357</v>
      </c>
      <c r="B19" s="9" t="s">
        <v>358</v>
      </c>
      <c r="D19" s="30" t="n">
        <v>0.08</v>
      </c>
      <c r="E19" s="30" t="n">
        <v>0.08</v>
      </c>
      <c r="F19" s="30" t="n">
        <v>0.07</v>
      </c>
      <c r="G19" s="30" t="n">
        <v>0.06</v>
      </c>
      <c r="H19" s="30" t="n">
        <v>0.06</v>
      </c>
      <c r="I19" s="16" t="s">
        <v>359</v>
      </c>
    </row>
    <row r="20" customFormat="false" ht="15" hidden="false" customHeight="false" outlineLevel="0" collapsed="false">
      <c r="A20" s="7" t="s">
        <v>62</v>
      </c>
      <c r="B20" s="9" t="s">
        <v>358</v>
      </c>
      <c r="C20" s="17" t="n">
        <f aca="false">4_Normalizacao!F17</f>
        <v>0</v>
      </c>
      <c r="D20" s="30" t="n">
        <v>0.15</v>
      </c>
      <c r="E20" s="30" t="n">
        <v>0.15</v>
      </c>
      <c r="F20" s="30" t="n">
        <v>0.155</v>
      </c>
      <c r="G20" s="30" t="n">
        <v>0.16</v>
      </c>
      <c r="H20" s="30" t="n">
        <v>0.16</v>
      </c>
    </row>
    <row r="21" customFormat="false" ht="15" hidden="false" customHeight="false" outlineLevel="0" collapsed="false">
      <c r="A21" s="7" t="s">
        <v>360</v>
      </c>
      <c r="B21" s="9" t="s">
        <v>358</v>
      </c>
      <c r="C21" s="17" t="n">
        <f aca="false">IF(1_DRE!F8=0,0,1_DRE!F21/1_DRE!F8)</f>
        <v>0</v>
      </c>
      <c r="D21" s="30" t="n">
        <v>0.017</v>
      </c>
      <c r="E21" s="30" t="n">
        <v>0.017</v>
      </c>
      <c r="F21" s="30" t="n">
        <v>0.017</v>
      </c>
      <c r="G21" s="30" t="n">
        <v>0.017</v>
      </c>
      <c r="H21" s="30" t="n">
        <v>0.017</v>
      </c>
    </row>
    <row r="22" customFormat="false" ht="22.35" hidden="false" customHeight="false" outlineLevel="0" collapsed="false">
      <c r="A22" s="7" t="s">
        <v>361</v>
      </c>
      <c r="B22" s="9" t="s">
        <v>358</v>
      </c>
      <c r="C22" s="17" t="n">
        <f aca="false">IF(1_DRE!F8=0,0,3_DFC!F11/1_DRE!F8)</f>
        <v>0</v>
      </c>
      <c r="D22" s="30" t="n">
        <v>0.025</v>
      </c>
      <c r="E22" s="30" t="n">
        <v>0.025</v>
      </c>
      <c r="F22" s="30" t="n">
        <v>0.025</v>
      </c>
      <c r="G22" s="30" t="n">
        <v>0.025</v>
      </c>
      <c r="H22" s="30" t="n">
        <v>0.025</v>
      </c>
      <c r="I22" s="16" t="s">
        <v>362</v>
      </c>
    </row>
    <row r="23" customFormat="false" ht="15" hidden="false" customHeight="false" outlineLevel="0" collapsed="false">
      <c r="A23" s="7" t="s">
        <v>363</v>
      </c>
      <c r="B23" s="9" t="s">
        <v>358</v>
      </c>
      <c r="C23" s="17" t="n">
        <f aca="false">IF(1_DRE!F8=0,0,2_Balanco!F19/1_DRE!F8)</f>
        <v>0</v>
      </c>
      <c r="D23" s="30" t="n">
        <v>0.085</v>
      </c>
      <c r="E23" s="30" t="n">
        <v>0.085</v>
      </c>
      <c r="F23" s="30" t="n">
        <v>0.085</v>
      </c>
      <c r="G23" s="30" t="n">
        <v>0.085</v>
      </c>
      <c r="H23" s="30" t="n">
        <v>0.085</v>
      </c>
    </row>
    <row r="24" customFormat="false" ht="30" hidden="false" customHeight="true" outlineLevel="0" collapsed="false">
      <c r="A24" s="7" t="s">
        <v>364</v>
      </c>
      <c r="B24" s="9" t="s">
        <v>358</v>
      </c>
      <c r="D24" s="30" t="n">
        <v>0.26</v>
      </c>
      <c r="E24" s="30" t="n">
        <v>0.26</v>
      </c>
      <c r="F24" s="30" t="n">
        <v>0.26</v>
      </c>
      <c r="G24" s="30" t="n">
        <v>0.26</v>
      </c>
      <c r="H24" s="30" t="n">
        <v>0.26</v>
      </c>
      <c r="I24" s="16" t="s">
        <v>365</v>
      </c>
    </row>
    <row r="25" customFormat="false" ht="15" hidden="false" customHeight="false" outlineLevel="0" collapsed="false">
      <c r="A25" s="18" t="s">
        <v>56</v>
      </c>
      <c r="C25" s="19" t="n">
        <f aca="false">1_DRE!F8</f>
        <v>0</v>
      </c>
      <c r="D25" s="19" t="n">
        <f aca="false">C25*(1+D19)</f>
        <v>0</v>
      </c>
      <c r="E25" s="19" t="n">
        <f aca="false">D25*(1+E19)</f>
        <v>0</v>
      </c>
      <c r="F25" s="19" t="n">
        <f aca="false">E25*(1+F19)</f>
        <v>0</v>
      </c>
      <c r="G25" s="19" t="n">
        <f aca="false">F25*(1+G19)</f>
        <v>0</v>
      </c>
      <c r="H25" s="19" t="n">
        <f aca="false">G25*(1+H19)</f>
        <v>0</v>
      </c>
    </row>
    <row r="26" customFormat="false" ht="15" hidden="false" customHeight="false" outlineLevel="0" collapsed="false">
      <c r="A26" s="7" t="s">
        <v>366</v>
      </c>
      <c r="C26" s="15" t="n">
        <f aca="false">4_Normalizacao!F16</f>
        <v>0</v>
      </c>
      <c r="D26" s="15" t="n">
        <f aca="false">D25*D20</f>
        <v>0</v>
      </c>
      <c r="E26" s="15" t="n">
        <f aca="false">E25*E20</f>
        <v>0</v>
      </c>
      <c r="F26" s="15" t="n">
        <f aca="false">F25*F20</f>
        <v>0</v>
      </c>
      <c r="G26" s="15" t="n">
        <f aca="false">G25*G20</f>
        <v>0</v>
      </c>
      <c r="H26" s="15" t="n">
        <f aca="false">H25*H20</f>
        <v>0</v>
      </c>
    </row>
    <row r="27" customFormat="false" ht="15" hidden="false" customHeight="false" outlineLevel="0" collapsed="false">
      <c r="A27" s="7" t="s">
        <v>367</v>
      </c>
      <c r="C27" s="15" t="n">
        <f aca="false">1_DRE!F21</f>
        <v>0</v>
      </c>
      <c r="D27" s="15" t="n">
        <f aca="false">D25*D21</f>
        <v>0</v>
      </c>
      <c r="E27" s="15" t="n">
        <f aca="false">E25*E21</f>
        <v>0</v>
      </c>
      <c r="F27" s="15" t="n">
        <f aca="false">F25*F21</f>
        <v>0</v>
      </c>
      <c r="G27" s="15" t="n">
        <f aca="false">G25*G21</f>
        <v>0</v>
      </c>
      <c r="H27" s="15" t="n">
        <f aca="false">H25*H21</f>
        <v>0</v>
      </c>
    </row>
    <row r="28" customFormat="false" ht="15" hidden="false" customHeight="false" outlineLevel="0" collapsed="false">
      <c r="A28" s="7" t="s">
        <v>368</v>
      </c>
      <c r="C28" s="15" t="n">
        <f aca="false">C26-C27</f>
        <v>0</v>
      </c>
      <c r="D28" s="15" t="n">
        <f aca="false">D26-D27</f>
        <v>0</v>
      </c>
      <c r="E28" s="15" t="n">
        <f aca="false">E26-E27</f>
        <v>0</v>
      </c>
      <c r="F28" s="15" t="n">
        <f aca="false">F26-F27</f>
        <v>0</v>
      </c>
      <c r="G28" s="15" t="n">
        <f aca="false">G26-G27</f>
        <v>0</v>
      </c>
      <c r="H28" s="15" t="n">
        <f aca="false">H26-H27</f>
        <v>0</v>
      </c>
    </row>
    <row r="29" customFormat="false" ht="15" hidden="false" customHeight="false" outlineLevel="0" collapsed="false">
      <c r="A29" s="7" t="s">
        <v>369</v>
      </c>
      <c r="D29" s="15" t="n">
        <f aca="false">MAX(0,D28)*D24</f>
        <v>0</v>
      </c>
      <c r="E29" s="15" t="n">
        <f aca="false">MAX(0,E28)*E24</f>
        <v>0</v>
      </c>
      <c r="F29" s="15" t="n">
        <f aca="false">MAX(0,F28)*F24</f>
        <v>0</v>
      </c>
      <c r="G29" s="15" t="n">
        <f aca="false">MAX(0,G28)*G24</f>
        <v>0</v>
      </c>
      <c r="H29" s="15" t="n">
        <f aca="false">MAX(0,H28)*H24</f>
        <v>0</v>
      </c>
    </row>
    <row r="30" customFormat="false" ht="15" hidden="false" customHeight="false" outlineLevel="0" collapsed="false">
      <c r="A30" s="7" t="s">
        <v>370</v>
      </c>
      <c r="C30" s="15" t="n">
        <f aca="false">3_DFC!F11</f>
        <v>0</v>
      </c>
      <c r="D30" s="15" t="n">
        <f aca="false">D25*D22</f>
        <v>0</v>
      </c>
      <c r="E30" s="15" t="n">
        <f aca="false">E25*E22</f>
        <v>0</v>
      </c>
      <c r="F30" s="15" t="n">
        <f aca="false">F25*F22</f>
        <v>0</v>
      </c>
      <c r="G30" s="15" t="n">
        <f aca="false">G25*G22</f>
        <v>0</v>
      </c>
      <c r="H30" s="15" t="n">
        <f aca="false">H25*H22</f>
        <v>0</v>
      </c>
    </row>
    <row r="31" customFormat="false" ht="15" hidden="false" customHeight="false" outlineLevel="0" collapsed="false">
      <c r="A31" s="7" t="s">
        <v>371</v>
      </c>
      <c r="C31" s="15" t="n">
        <f aca="false">2_Balanco!F19</f>
        <v>0</v>
      </c>
      <c r="D31" s="15" t="n">
        <f aca="false">D25*D23</f>
        <v>0</v>
      </c>
      <c r="E31" s="15" t="n">
        <f aca="false">E25*E23</f>
        <v>0</v>
      </c>
      <c r="F31" s="15" t="n">
        <f aca="false">F25*F23</f>
        <v>0</v>
      </c>
      <c r="G31" s="15" t="n">
        <f aca="false">G25*G23</f>
        <v>0</v>
      </c>
      <c r="H31" s="15" t="n">
        <f aca="false">H25*H23</f>
        <v>0</v>
      </c>
    </row>
    <row r="32" customFormat="false" ht="15" hidden="false" customHeight="false" outlineLevel="0" collapsed="false">
      <c r="A32" s="7" t="s">
        <v>372</v>
      </c>
      <c r="C32" s="15" t="n">
        <f aca="false">2_Balanco!F20</f>
        <v>0</v>
      </c>
      <c r="D32" s="15" t="n">
        <f aca="false">D31-C31</f>
        <v>0</v>
      </c>
      <c r="E32" s="15" t="n">
        <f aca="false">E31-D31</f>
        <v>0</v>
      </c>
      <c r="F32" s="15" t="n">
        <f aca="false">F31-E31</f>
        <v>0</v>
      </c>
      <c r="G32" s="15" t="n">
        <f aca="false">G31-F31</f>
        <v>0</v>
      </c>
      <c r="H32" s="15" t="n">
        <f aca="false">H31-G31</f>
        <v>0</v>
      </c>
    </row>
    <row r="33" customFormat="false" ht="30" hidden="false" customHeight="true" outlineLevel="0" collapsed="false">
      <c r="A33" s="18" t="s">
        <v>373</v>
      </c>
      <c r="D33" s="19" t="n">
        <f aca="false">D28-D29+D27-D30-D32</f>
        <v>0</v>
      </c>
      <c r="E33" s="19" t="n">
        <f aca="false">E28-E29+E27-E30-E32</f>
        <v>0</v>
      </c>
      <c r="F33" s="19" t="n">
        <f aca="false">F28-F29+F27-F30-F32</f>
        <v>0</v>
      </c>
      <c r="G33" s="19" t="n">
        <f aca="false">G28-G29+G27-G30-G32</f>
        <v>0</v>
      </c>
      <c r="H33" s="19" t="n">
        <f aca="false">H28-H29+H27-H30-H32</f>
        <v>0</v>
      </c>
      <c r="I33" s="16" t="s">
        <v>374</v>
      </c>
    </row>
    <row r="35" customFormat="false" ht="15" hidden="false" customHeight="false" outlineLevel="0" collapsed="false">
      <c r="A35" s="3" t="s">
        <v>375</v>
      </c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7" t="s">
        <v>376</v>
      </c>
      <c r="B36" s="30" t="n">
        <v>0.13</v>
      </c>
      <c r="I36" s="16" t="s">
        <v>377</v>
      </c>
    </row>
    <row r="37" customFormat="false" ht="15" hidden="false" customHeight="false" outlineLevel="0" collapsed="false">
      <c r="A37" s="7" t="s">
        <v>378</v>
      </c>
      <c r="B37" s="32" t="n">
        <v>1</v>
      </c>
      <c r="I37" s="16" t="s">
        <v>379</v>
      </c>
    </row>
    <row r="38" customFormat="false" ht="15" hidden="false" customHeight="false" outlineLevel="0" collapsed="false">
      <c r="A38" s="7" t="s">
        <v>380</v>
      </c>
      <c r="B38" s="30" t="n">
        <v>0.055</v>
      </c>
      <c r="I38" s="16" t="s">
        <v>381</v>
      </c>
    </row>
    <row r="39" customFormat="false" ht="15" hidden="false" customHeight="false" outlineLevel="0" collapsed="false">
      <c r="A39" s="7" t="s">
        <v>382</v>
      </c>
      <c r="B39" s="30" t="n">
        <v>0.03</v>
      </c>
      <c r="I39" s="16" t="s">
        <v>383</v>
      </c>
    </row>
    <row r="40" customFormat="false" ht="23.85" hidden="false" customHeight="false" outlineLevel="0" collapsed="false">
      <c r="A40" s="7" t="s">
        <v>384</v>
      </c>
      <c r="B40" s="30" t="n">
        <v>0.03</v>
      </c>
      <c r="I40" s="16" t="s">
        <v>385</v>
      </c>
    </row>
    <row r="41" customFormat="false" ht="15" hidden="false" customHeight="false" outlineLevel="0" collapsed="false">
      <c r="A41" s="18" t="s">
        <v>386</v>
      </c>
      <c r="B41" s="23" t="n">
        <f aca="false">B36+B37*B38+B39+B40</f>
        <v>0.245</v>
      </c>
    </row>
    <row r="42" customFormat="false" ht="15" hidden="false" customHeight="false" outlineLevel="0" collapsed="false">
      <c r="A42" s="7" t="s">
        <v>387</v>
      </c>
      <c r="B42" s="30" t="n">
        <v>0.16</v>
      </c>
      <c r="I42" s="16" t="s">
        <v>388</v>
      </c>
    </row>
    <row r="43" customFormat="false" ht="22.35" hidden="false" customHeight="false" outlineLevel="0" collapsed="false">
      <c r="A43" s="7" t="s">
        <v>389</v>
      </c>
      <c r="B43" s="30" t="n">
        <v>0.34</v>
      </c>
      <c r="I43" s="16" t="s">
        <v>390</v>
      </c>
    </row>
    <row r="44" customFormat="false" ht="15" hidden="false" customHeight="false" outlineLevel="0" collapsed="false">
      <c r="A44" s="7" t="s">
        <v>391</v>
      </c>
      <c r="B44" s="30" t="n">
        <v>0.3</v>
      </c>
      <c r="I44" s="16" t="s">
        <v>392</v>
      </c>
    </row>
    <row r="45" customFormat="false" ht="15" hidden="false" customHeight="false" outlineLevel="0" collapsed="false">
      <c r="A45" s="18" t="s">
        <v>393</v>
      </c>
      <c r="B45" s="33" t="n">
        <f aca="false">(1-B44)*B41+B44*B42*(1-B43)</f>
        <v>0.20318</v>
      </c>
    </row>
    <row r="46" customFormat="false" ht="22.35" hidden="false" customHeight="false" outlineLevel="0" collapsed="false">
      <c r="A46" s="7" t="s">
        <v>394</v>
      </c>
      <c r="B46" s="30" t="n">
        <v>0.045</v>
      </c>
      <c r="I46" s="16" t="s">
        <v>395</v>
      </c>
    </row>
    <row r="48" customFormat="false" ht="15" hidden="false" customHeight="false" outlineLevel="0" collapsed="false">
      <c r="A48" s="7" t="s">
        <v>396</v>
      </c>
      <c r="D48" s="34" t="n">
        <f aca="false">1/(1+$B$45)^D18</f>
        <v>0.8311308366163</v>
      </c>
      <c r="E48" s="34" t="n">
        <f aca="false">1/(1+$B$45)^E18</f>
        <v>0.690778467574511</v>
      </c>
      <c r="F48" s="34" t="n">
        <f aca="false">1/(1+$B$45)^F18</f>
        <v>0.574127285671729</v>
      </c>
      <c r="G48" s="34" t="n">
        <f aca="false">1/(1+$B$45)^G18</f>
        <v>0.47717489126459</v>
      </c>
      <c r="H48" s="34" t="n">
        <f aca="false">1/(1+$B$45)^H18</f>
        <v>0.396594766589031</v>
      </c>
    </row>
    <row r="49" customFormat="false" ht="15" hidden="false" customHeight="false" outlineLevel="0" collapsed="false">
      <c r="A49" s="7" t="s">
        <v>397</v>
      </c>
      <c r="D49" s="15" t="n">
        <f aca="false">D33*D48</f>
        <v>0</v>
      </c>
      <c r="E49" s="15" t="n">
        <f aca="false">E33*E48</f>
        <v>0</v>
      </c>
      <c r="F49" s="15" t="n">
        <f aca="false">F33*F48</f>
        <v>0</v>
      </c>
      <c r="G49" s="15" t="n">
        <f aca="false">G33*G48</f>
        <v>0</v>
      </c>
      <c r="H49" s="15" t="n">
        <f aca="false">H33*H48</f>
        <v>0</v>
      </c>
    </row>
    <row r="50" customFormat="false" ht="15" hidden="false" customHeight="false" outlineLevel="0" collapsed="false">
      <c r="A50" s="7" t="s">
        <v>398</v>
      </c>
      <c r="B50" s="15" t="n">
        <f aca="false">SUM(D49:H49)</f>
        <v>0</v>
      </c>
    </row>
    <row r="51" customFormat="false" ht="15" hidden="false" customHeight="false" outlineLevel="0" collapsed="false">
      <c r="A51" s="7" t="s">
        <v>399</v>
      </c>
      <c r="B51" s="15" t="n">
        <f aca="false">IF(B45&lt;=B46,0,H33*(1+B46)/(B45-B46))</f>
        <v>0</v>
      </c>
      <c r="I51" s="16" t="s">
        <v>400</v>
      </c>
    </row>
    <row r="52" customFormat="false" ht="15" hidden="false" customHeight="false" outlineLevel="0" collapsed="false">
      <c r="A52" s="7" t="s">
        <v>401</v>
      </c>
      <c r="B52" s="15" t="n">
        <f aca="false">B51*H48</f>
        <v>0</v>
      </c>
    </row>
    <row r="53" customFormat="false" ht="15" hidden="false" customHeight="false" outlineLevel="0" collapsed="false">
      <c r="A53" s="18" t="s">
        <v>76</v>
      </c>
      <c r="B53" s="20" t="n">
        <f aca="false">B50+B52</f>
        <v>0</v>
      </c>
    </row>
    <row r="54" customFormat="false" ht="22.35" hidden="false" customHeight="false" outlineLevel="0" collapsed="false">
      <c r="A54" s="7" t="s">
        <v>402</v>
      </c>
      <c r="B54" s="17" t="n">
        <f aca="false">IF(B53=0,0,B52/B53)</f>
        <v>0</v>
      </c>
      <c r="I54" s="16" t="s">
        <v>403</v>
      </c>
    </row>
    <row r="55" customFormat="false" ht="15" hidden="false" customHeight="false" outlineLevel="0" collapsed="false">
      <c r="A55" s="7" t="s">
        <v>404</v>
      </c>
      <c r="B55" s="21" t="n">
        <f aca="false">IF(B12=0,0,B53/B12)</f>
        <v>0</v>
      </c>
    </row>
    <row r="57" customFormat="false" ht="15" hidden="false" customHeight="false" outlineLevel="0" collapsed="false">
      <c r="A57" s="3" t="s">
        <v>405</v>
      </c>
      <c r="B57" s="4"/>
      <c r="C57" s="4"/>
      <c r="D57" s="4"/>
      <c r="E57" s="4"/>
      <c r="F57" s="4"/>
      <c r="G57" s="4"/>
      <c r="H57" s="4"/>
      <c r="I57" s="4"/>
    </row>
    <row r="58" customFormat="false" ht="15" hidden="false" customHeight="false" outlineLevel="0" collapsed="false">
      <c r="A58" s="18" t="s">
        <v>406</v>
      </c>
      <c r="C58" s="35" t="n">
        <f aca="false">$B$46+(-0.01)</f>
        <v>0.035</v>
      </c>
      <c r="D58" s="35" t="n">
        <f aca="false">$B$46+(-0.005)</f>
        <v>0.04</v>
      </c>
      <c r="E58" s="35" t="n">
        <f aca="false">$B$46+(0)</f>
        <v>0.045</v>
      </c>
      <c r="F58" s="35" t="n">
        <f aca="false">$B$46+(0.005)</f>
        <v>0.05</v>
      </c>
      <c r="G58" s="35" t="n">
        <f aca="false">$B$46+(0.01)</f>
        <v>0.055</v>
      </c>
    </row>
    <row r="59" customFormat="false" ht="15" hidden="false" customHeight="false" outlineLevel="0" collapsed="false">
      <c r="B59" s="35" t="n">
        <f aca="false">$B$45+(-0.02)</f>
        <v>0.18318</v>
      </c>
      <c r="C59" s="15" t="n">
        <f aca="false">SUMPRODUCT($D$33:$H$33,1/(1+$B59)^$D$18:$H$18)+IF($B59&lt;=C$58,0,$H$33*(1+C$58)/($B59-C$58)/(1+$B59)^5)</f>
        <v>0</v>
      </c>
      <c r="D59" s="15" t="n">
        <f aca="false">SUMPRODUCT($D$33:$H$33,1/(1+$B59)^$D$18:$H$18)+IF($B59&lt;=D$58,0,$H$33*(1+D$58)/($B59-D$58)/(1+$B59)^5)</f>
        <v>0</v>
      </c>
      <c r="E59" s="15" t="n">
        <f aca="false">SUMPRODUCT($D$33:$H$33,1/(1+$B59)^$D$18:$H$18)+IF($B59&lt;=E$58,0,$H$33*(1+E$58)/($B59-E$58)/(1+$B59)^5)</f>
        <v>0</v>
      </c>
      <c r="F59" s="15" t="n">
        <f aca="false">SUMPRODUCT($D$33:$H$33,1/(1+$B59)^$D$18:$H$18)+IF($B59&lt;=F$58,0,$H$33*(1+F$58)/($B59-F$58)/(1+$B59)^5)</f>
        <v>0</v>
      </c>
      <c r="G59" s="15" t="n">
        <f aca="false">SUMPRODUCT($D$33:$H$33,1/(1+$B59)^$D$18:$H$18)+IF($B59&lt;=G$58,0,$H$33*(1+G$58)/($B59-G$58)/(1+$B59)^5)</f>
        <v>0</v>
      </c>
    </row>
    <row r="60" customFormat="false" ht="15" hidden="false" customHeight="false" outlineLevel="0" collapsed="false">
      <c r="B60" s="35" t="n">
        <f aca="false">$B$45+(-0.01)</f>
        <v>0.19318</v>
      </c>
      <c r="C60" s="15" t="n">
        <f aca="false">SUMPRODUCT($D$33:$H$33,1/(1+$B60)^$D$18:$H$18)+IF($B60&lt;=C$58,0,$H$33*(1+C$58)/($B60-C$58)/(1+$B60)^5)</f>
        <v>0</v>
      </c>
      <c r="D60" s="15" t="n">
        <f aca="false">SUMPRODUCT($D$33:$H$33,1/(1+$B60)^$D$18:$H$18)+IF($B60&lt;=D$58,0,$H$33*(1+D$58)/($B60-D$58)/(1+$B60)^5)</f>
        <v>0</v>
      </c>
      <c r="E60" s="15" t="n">
        <f aca="false">SUMPRODUCT($D$33:$H$33,1/(1+$B60)^$D$18:$H$18)+IF($B60&lt;=E$58,0,$H$33*(1+E$58)/($B60-E$58)/(1+$B60)^5)</f>
        <v>0</v>
      </c>
      <c r="F60" s="15" t="n">
        <f aca="false">SUMPRODUCT($D$33:$H$33,1/(1+$B60)^$D$18:$H$18)+IF($B60&lt;=F$58,0,$H$33*(1+F$58)/($B60-F$58)/(1+$B60)^5)</f>
        <v>0</v>
      </c>
      <c r="G60" s="15" t="n">
        <f aca="false">SUMPRODUCT($D$33:$H$33,1/(1+$B60)^$D$18:$H$18)+IF($B60&lt;=G$58,0,$H$33*(1+G$58)/($B60-G$58)/(1+$B60)^5)</f>
        <v>0</v>
      </c>
    </row>
    <row r="61" customFormat="false" ht="15" hidden="false" customHeight="false" outlineLevel="0" collapsed="false">
      <c r="B61" s="35" t="n">
        <f aca="false">$B$45+(0)</f>
        <v>0.20318</v>
      </c>
      <c r="C61" s="15" t="n">
        <f aca="false">SUMPRODUCT($D$33:$H$33,1/(1+$B61)^$D$18:$H$18)+IF($B61&lt;=C$58,0,$H$33*(1+C$58)/($B61-C$58)/(1+$B61)^5)</f>
        <v>0</v>
      </c>
      <c r="D61" s="15" t="n">
        <f aca="false">SUMPRODUCT($D$33:$H$33,1/(1+$B61)^$D$18:$H$18)+IF($B61&lt;=D$58,0,$H$33*(1+D$58)/($B61-D$58)/(1+$B61)^5)</f>
        <v>0</v>
      </c>
      <c r="E61" s="15" t="n">
        <f aca="false">SUMPRODUCT($D$33:$H$33,1/(1+$B61)^$D$18:$H$18)+IF($B61&lt;=E$58,0,$H$33*(1+E$58)/($B61-E$58)/(1+$B61)^5)</f>
        <v>0</v>
      </c>
      <c r="F61" s="15" t="n">
        <f aca="false">SUMPRODUCT($D$33:$H$33,1/(1+$B61)^$D$18:$H$18)+IF($B61&lt;=F$58,0,$H$33*(1+F$58)/($B61-F$58)/(1+$B61)^5)</f>
        <v>0</v>
      </c>
      <c r="G61" s="15" t="n">
        <f aca="false">SUMPRODUCT($D$33:$H$33,1/(1+$B61)^$D$18:$H$18)+IF($B61&lt;=G$58,0,$H$33*(1+G$58)/($B61-G$58)/(1+$B61)^5)</f>
        <v>0</v>
      </c>
    </row>
    <row r="62" customFormat="false" ht="15" hidden="false" customHeight="false" outlineLevel="0" collapsed="false">
      <c r="B62" s="35" t="n">
        <f aca="false">$B$45+(0.01)</f>
        <v>0.21318</v>
      </c>
      <c r="C62" s="15" t="n">
        <f aca="false">SUMPRODUCT($D$33:$H$33,1/(1+$B62)^$D$18:$H$18)+IF($B62&lt;=C$58,0,$H$33*(1+C$58)/($B62-C$58)/(1+$B62)^5)</f>
        <v>0</v>
      </c>
      <c r="D62" s="15" t="n">
        <f aca="false">SUMPRODUCT($D$33:$H$33,1/(1+$B62)^$D$18:$H$18)+IF($B62&lt;=D$58,0,$H$33*(1+D$58)/($B62-D$58)/(1+$B62)^5)</f>
        <v>0</v>
      </c>
      <c r="E62" s="15" t="n">
        <f aca="false">SUMPRODUCT($D$33:$H$33,1/(1+$B62)^$D$18:$H$18)+IF($B62&lt;=E$58,0,$H$33*(1+E$58)/($B62-E$58)/(1+$B62)^5)</f>
        <v>0</v>
      </c>
      <c r="F62" s="15" t="n">
        <f aca="false">SUMPRODUCT($D$33:$H$33,1/(1+$B62)^$D$18:$H$18)+IF($B62&lt;=F$58,0,$H$33*(1+F$58)/($B62-F$58)/(1+$B62)^5)</f>
        <v>0</v>
      </c>
      <c r="G62" s="15" t="n">
        <f aca="false">SUMPRODUCT($D$33:$H$33,1/(1+$B62)^$D$18:$H$18)+IF($B62&lt;=G$58,0,$H$33*(1+G$58)/($B62-G$58)/(1+$B62)^5)</f>
        <v>0</v>
      </c>
    </row>
    <row r="63" customFormat="false" ht="15" hidden="false" customHeight="false" outlineLevel="0" collapsed="false">
      <c r="B63" s="35" t="n">
        <f aca="false">$B$45+(0.02)</f>
        <v>0.22318</v>
      </c>
      <c r="C63" s="15" t="n">
        <f aca="false">SUMPRODUCT($D$33:$H$33,1/(1+$B63)^$D$18:$H$18)+IF($B63&lt;=C$58,0,$H$33*(1+C$58)/($B63-C$58)/(1+$B63)^5)</f>
        <v>0</v>
      </c>
      <c r="D63" s="15" t="n">
        <f aca="false">SUMPRODUCT($D$33:$H$33,1/(1+$B63)^$D$18:$H$18)+IF($B63&lt;=D$58,0,$H$33*(1+D$58)/($B63-D$58)/(1+$B63)^5)</f>
        <v>0</v>
      </c>
      <c r="E63" s="15" t="n">
        <f aca="false">SUMPRODUCT($D$33:$H$33,1/(1+$B63)^$D$18:$H$18)+IF($B63&lt;=E$58,0,$H$33*(1+E$58)/($B63-E$58)/(1+$B63)^5)</f>
        <v>0</v>
      </c>
      <c r="F63" s="15" t="n">
        <f aca="false">SUMPRODUCT($D$33:$H$33,1/(1+$B63)^$D$18:$H$18)+IF($B63&lt;=F$58,0,$H$33*(1+F$58)/($B63-F$58)/(1+$B63)^5)</f>
        <v>0</v>
      </c>
      <c r="G63" s="15" t="n">
        <f aca="false">SUMPRODUCT($D$33:$H$33,1/(1+$B63)^$D$18:$H$18)+IF($B63&lt;=G$58,0,$H$33*(1+G$58)/($B63-G$58)/(1+$B63)^5)</f>
        <v>0</v>
      </c>
    </row>
    <row r="65" customFormat="false" ht="15" hidden="false" customHeight="false" outlineLevel="0" collapsed="false">
      <c r="A65" s="3" t="s">
        <v>407</v>
      </c>
      <c r="B65" s="4"/>
      <c r="C65" s="4"/>
      <c r="D65" s="4"/>
      <c r="E65" s="4"/>
      <c r="F65" s="4"/>
      <c r="G65" s="4"/>
      <c r="H65" s="4"/>
      <c r="I65" s="4"/>
    </row>
    <row r="66" customFormat="false" ht="30" hidden="false" customHeight="true" outlineLevel="0" collapsed="false">
      <c r="A66" s="14" t="s">
        <v>408</v>
      </c>
      <c r="B66" s="14" t="s">
        <v>409</v>
      </c>
      <c r="C66" s="14" t="s">
        <v>69</v>
      </c>
      <c r="D66" s="14" t="s">
        <v>70</v>
      </c>
      <c r="E66" s="14" t="s">
        <v>71</v>
      </c>
      <c r="I66" s="14" t="s">
        <v>301</v>
      </c>
    </row>
    <row r="67" customFormat="false" ht="15" hidden="false" customHeight="false" outlineLevel="0" collapsed="false">
      <c r="A67" s="7" t="s">
        <v>338</v>
      </c>
      <c r="B67" s="30" t="n">
        <v>0.2</v>
      </c>
      <c r="C67" s="15" t="n">
        <f aca="false">C8</f>
        <v>15</v>
      </c>
      <c r="D67" s="15" t="n">
        <f aca="false">D8</f>
        <v>18</v>
      </c>
      <c r="E67" s="15" t="n">
        <f aca="false">E8</f>
        <v>21</v>
      </c>
    </row>
    <row r="68" customFormat="false" ht="15" hidden="false" customHeight="false" outlineLevel="0" collapsed="false">
      <c r="A68" s="7" t="s">
        <v>344</v>
      </c>
      <c r="B68" s="30" t="n">
        <v>0.2</v>
      </c>
      <c r="C68" s="15" t="n">
        <f aca="false">C14</f>
        <v>0</v>
      </c>
      <c r="D68" s="15" t="n">
        <f aca="false">D14</f>
        <v>0</v>
      </c>
      <c r="E68" s="15" t="n">
        <f aca="false">E14</f>
        <v>0</v>
      </c>
    </row>
    <row r="69" customFormat="false" ht="30" hidden="false" customHeight="true" outlineLevel="0" collapsed="false">
      <c r="A69" s="7" t="s">
        <v>410</v>
      </c>
      <c r="B69" s="30" t="n">
        <v>0.6</v>
      </c>
      <c r="C69" s="15" t="n">
        <f aca="false">E63</f>
        <v>0</v>
      </c>
      <c r="D69" s="15" t="n">
        <f aca="false">B53</f>
        <v>0</v>
      </c>
      <c r="E69" s="15" t="n">
        <f aca="false">E59</f>
        <v>0</v>
      </c>
      <c r="I69" s="16" t="s">
        <v>411</v>
      </c>
    </row>
    <row r="70" customFormat="false" ht="15" hidden="false" customHeight="false" outlineLevel="0" collapsed="false">
      <c r="A70" s="7" t="s">
        <v>329</v>
      </c>
      <c r="B70" s="17" t="n">
        <f aca="false">SUM(B67:B69)</f>
        <v>1</v>
      </c>
    </row>
    <row r="71" customFormat="false" ht="15" hidden="false" customHeight="false" outlineLevel="0" collapsed="false">
      <c r="A71" s="18" t="s">
        <v>412</v>
      </c>
      <c r="C71" s="20" t="n">
        <f aca="false">SUMPRODUCT($B$67:$B$69,C67:C69)</f>
        <v>3</v>
      </c>
      <c r="D71" s="20" t="n">
        <f aca="false">SUMPRODUCT($B$67:$B$69,D67:D69)</f>
        <v>3.6</v>
      </c>
      <c r="E71" s="20" t="n">
        <f aca="false">SUMPRODUCT($B$67:$B$69,E67:E69)</f>
        <v>4.2</v>
      </c>
    </row>
    <row r="73" customFormat="false" ht="15" hidden="false" customHeight="false" outlineLevel="0" collapsed="false">
      <c r="A73" s="3" t="s">
        <v>413</v>
      </c>
      <c r="B73" s="4"/>
      <c r="C73" s="4"/>
      <c r="D73" s="4"/>
      <c r="E73" s="4"/>
      <c r="F73" s="4"/>
      <c r="G73" s="4"/>
      <c r="H73" s="4"/>
      <c r="I73" s="4"/>
    </row>
    <row r="74" customFormat="false" ht="30" hidden="false" customHeight="true" outlineLevel="0" collapsed="false">
      <c r="A74" s="14" t="s">
        <v>334</v>
      </c>
      <c r="D74" s="14" t="s">
        <v>70</v>
      </c>
      <c r="I74" s="14" t="s">
        <v>414</v>
      </c>
    </row>
    <row r="75" customFormat="false" ht="15" hidden="false" customHeight="false" outlineLevel="0" collapsed="false">
      <c r="A75" s="7" t="s">
        <v>415</v>
      </c>
      <c r="D75" s="15" t="n">
        <f aca="false">D71</f>
        <v>3.6</v>
      </c>
    </row>
    <row r="76" customFormat="false" ht="15" hidden="false" customHeight="false" outlineLevel="0" collapsed="false">
      <c r="A76" s="7" t="s">
        <v>416</v>
      </c>
      <c r="D76" s="15" t="n">
        <f aca="false">2_Balanco!F21</f>
        <v>0</v>
      </c>
      <c r="I76" s="16" t="s">
        <v>417</v>
      </c>
    </row>
    <row r="77" customFormat="false" ht="15" hidden="false" customHeight="false" outlineLevel="0" collapsed="false">
      <c r="A77" s="7" t="s">
        <v>418</v>
      </c>
      <c r="D77" s="15" t="n">
        <f aca="false">2_Balanco!F6</f>
        <v>0</v>
      </c>
    </row>
    <row r="78" customFormat="false" ht="22.35" hidden="false" customHeight="false" outlineLevel="0" collapsed="false">
      <c r="A78" s="7" t="s">
        <v>419</v>
      </c>
      <c r="D78" s="26" t="n">
        <v>0</v>
      </c>
      <c r="I78" s="16" t="s">
        <v>420</v>
      </c>
    </row>
    <row r="79" customFormat="false" ht="15" hidden="false" customHeight="false" outlineLevel="0" collapsed="false">
      <c r="A79" s="7" t="s">
        <v>421</v>
      </c>
      <c r="D79" s="26" t="n">
        <v>0</v>
      </c>
      <c r="I79" s="16" t="s">
        <v>422</v>
      </c>
    </row>
    <row r="80" customFormat="false" ht="30" hidden="false" customHeight="true" outlineLevel="0" collapsed="false">
      <c r="A80" s="7" t="s">
        <v>423</v>
      </c>
      <c r="D80" s="15" t="n">
        <f aca="false">2_Balanco!F19-D79</f>
        <v>0</v>
      </c>
      <c r="I80" s="16" t="s">
        <v>424</v>
      </c>
    </row>
    <row r="81" customFormat="false" ht="22.35" hidden="false" customHeight="false" outlineLevel="0" collapsed="false">
      <c r="A81" s="7" t="s">
        <v>425</v>
      </c>
      <c r="D81" s="26" t="n">
        <v>0</v>
      </c>
      <c r="I81" s="16" t="s">
        <v>426</v>
      </c>
    </row>
    <row r="82" customFormat="false" ht="15" hidden="false" customHeight="false" outlineLevel="0" collapsed="false">
      <c r="A82" s="18" t="s">
        <v>427</v>
      </c>
      <c r="D82" s="20" t="n">
        <f aca="false">D75-D76+D77-D78+D80-D81</f>
        <v>3.6</v>
      </c>
    </row>
    <row r="84" customFormat="false" ht="15" hidden="false" customHeight="false" outlineLevel="0" collapsed="false">
      <c r="A84" s="3" t="s">
        <v>428</v>
      </c>
      <c r="B84" s="4"/>
      <c r="C84" s="4"/>
      <c r="D84" s="4"/>
      <c r="E84" s="4"/>
      <c r="F84" s="4"/>
      <c r="G84" s="4"/>
      <c r="H84" s="4"/>
      <c r="I84" s="4"/>
    </row>
    <row r="85" customFormat="false" ht="30" hidden="false" customHeight="true" outlineLevel="0" collapsed="false">
      <c r="A85" s="14" t="s">
        <v>429</v>
      </c>
      <c r="B85" s="14" t="s">
        <v>430</v>
      </c>
      <c r="C85" s="14" t="s">
        <v>431</v>
      </c>
      <c r="D85" s="14" t="s">
        <v>432</v>
      </c>
      <c r="I85" s="14" t="s">
        <v>433</v>
      </c>
    </row>
    <row r="86" customFormat="false" ht="30" hidden="false" customHeight="true" outlineLevel="0" collapsed="false">
      <c r="A86" s="7" t="s">
        <v>434</v>
      </c>
      <c r="B86" s="16" t="s">
        <v>435</v>
      </c>
      <c r="C86" s="16" t="s">
        <v>436</v>
      </c>
      <c r="D86" s="21" t="n">
        <v>7</v>
      </c>
      <c r="I86" s="16" t="s">
        <v>437</v>
      </c>
    </row>
    <row r="87" customFormat="false" ht="30" hidden="false" customHeight="true" outlineLevel="0" collapsed="false">
      <c r="A87" s="7" t="s">
        <v>438</v>
      </c>
      <c r="B87" s="16" t="s">
        <v>435</v>
      </c>
      <c r="C87" s="16" t="s">
        <v>436</v>
      </c>
      <c r="D87" s="21" t="n">
        <v>6.2</v>
      </c>
      <c r="I87" s="16" t="s">
        <v>439</v>
      </c>
    </row>
    <row r="88" customFormat="false" ht="30" hidden="false" customHeight="true" outlineLevel="0" collapsed="false">
      <c r="A88" s="7" t="s">
        <v>440</v>
      </c>
      <c r="B88" s="16" t="s">
        <v>441</v>
      </c>
      <c r="C88" s="16" t="s">
        <v>436</v>
      </c>
      <c r="D88" s="21" t="n">
        <v>5.7</v>
      </c>
      <c r="I88" s="16" t="s">
        <v>442</v>
      </c>
    </row>
    <row r="89" customFormat="false" ht="30" hidden="false" customHeight="true" outlineLevel="0" collapsed="false">
      <c r="A89" s="7" t="s">
        <v>443</v>
      </c>
      <c r="B89" s="16" t="s">
        <v>444</v>
      </c>
      <c r="C89" s="16" t="s">
        <v>445</v>
      </c>
      <c r="D89" s="21" t="n">
        <v>2.5</v>
      </c>
      <c r="I89" s="16" t="s">
        <v>446</v>
      </c>
    </row>
    <row r="90" customFormat="false" ht="30" hidden="false" customHeight="true" outlineLevel="0" collapsed="false">
      <c r="A90" s="7" t="s">
        <v>447</v>
      </c>
      <c r="B90" s="16" t="s">
        <v>448</v>
      </c>
      <c r="C90" s="16" t="s">
        <v>449</v>
      </c>
      <c r="D90" s="21" t="n">
        <v>3</v>
      </c>
      <c r="I90" s="16" t="s">
        <v>450</v>
      </c>
    </row>
    <row r="91" customFormat="false" ht="30" hidden="false" customHeight="true" outlineLevel="0" collapsed="false">
      <c r="A91" s="36" t="s">
        <v>451</v>
      </c>
      <c r="B91" s="36"/>
      <c r="C91" s="36"/>
      <c r="D91" s="36"/>
      <c r="E91" s="36"/>
      <c r="F91" s="36"/>
      <c r="G91" s="36"/>
      <c r="H91" s="36"/>
      <c r="I91" s="36"/>
    </row>
  </sheetData>
  <mergeCells count="1">
    <mergeCell ref="A91:I91"/>
  </mergeCells>
  <conditionalFormatting sqref="B70">
    <cfRule type="cellIs" priority="2" operator="not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I9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8" min="2" style="0" width="12"/>
    <col collapsed="false" customWidth="true" hidden="false" outlineLevel="0" max="9" min="9" style="0" width="58"/>
  </cols>
  <sheetData>
    <row r="1" customFormat="false" ht="19.7" hidden="false" customHeight="false" outlineLevel="0" collapsed="false">
      <c r="A1" s="1" t="s">
        <v>452</v>
      </c>
    </row>
    <row r="2" customFormat="false" ht="15" hidden="false" customHeight="false" outlineLevel="0" collapsed="false">
      <c r="A2" s="2" t="s">
        <v>453</v>
      </c>
    </row>
    <row r="4" customFormat="false" ht="15" hidden="false" customHeight="false" outlineLevel="0" collapsed="false">
      <c r="A4" s="3" t="s">
        <v>454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7" t="s">
        <v>455</v>
      </c>
      <c r="B5" s="15" t="n">
        <f aca="false">4_Normalizacao!F16</f>
        <v>0</v>
      </c>
    </row>
    <row r="6" customFormat="false" ht="30" hidden="false" customHeight="true" outlineLevel="0" collapsed="false">
      <c r="A6" s="7" t="s">
        <v>456</v>
      </c>
      <c r="B6" s="31" t="n">
        <v>0</v>
      </c>
      <c r="I6" s="16" t="s">
        <v>457</v>
      </c>
    </row>
    <row r="7" customFormat="false" ht="15" hidden="false" customHeight="false" outlineLevel="0" collapsed="false">
      <c r="A7" s="18" t="s">
        <v>79</v>
      </c>
      <c r="B7" s="19" t="n">
        <f aca="false">B5*B6</f>
        <v>0</v>
      </c>
    </row>
    <row r="8" customFormat="false" ht="15" hidden="false" customHeight="false" outlineLevel="0" collapsed="false">
      <c r="A8" s="7" t="s">
        <v>458</v>
      </c>
      <c r="B8" s="21" t="n">
        <f aca="false">IF(4_Normalizacao!F12=0,0,B7/4_Normalizacao!F12)</f>
        <v>0</v>
      </c>
    </row>
    <row r="9" customFormat="false" ht="15" hidden="false" customHeight="false" outlineLevel="0" collapsed="false">
      <c r="A9" s="7" t="s">
        <v>459</v>
      </c>
      <c r="B9" s="15" t="n">
        <f aca="false">2_Balanco!F21</f>
        <v>0</v>
      </c>
    </row>
    <row r="10" customFormat="false" ht="15" hidden="false" customHeight="false" outlineLevel="0" collapsed="false">
      <c r="A10" s="7" t="s">
        <v>460</v>
      </c>
      <c r="B10" s="15" t="n">
        <f aca="false">5_Valuation!D77-5_Valuation!D78</f>
        <v>0</v>
      </c>
    </row>
    <row r="11" customFormat="false" ht="15" hidden="false" customHeight="false" outlineLevel="0" collapsed="false">
      <c r="A11" s="7" t="s">
        <v>461</v>
      </c>
      <c r="B11" s="15" t="n">
        <f aca="false">5_Valuation!D80-5_Valuation!D81</f>
        <v>0</v>
      </c>
    </row>
    <row r="12" customFormat="false" ht="15" hidden="false" customHeight="false" outlineLevel="0" collapsed="false">
      <c r="A12" s="18" t="s">
        <v>462</v>
      </c>
      <c r="B12" s="20" t="n">
        <f aca="false">B7-B9+B10+B11</f>
        <v>0</v>
      </c>
    </row>
    <row r="14" customFormat="false" ht="15" hidden="false" customHeight="false" outlineLevel="0" collapsed="false">
      <c r="A14" s="3" t="s">
        <v>463</v>
      </c>
      <c r="B14" s="4"/>
      <c r="C14" s="4"/>
      <c r="D14" s="4"/>
      <c r="E14" s="4"/>
      <c r="F14" s="4"/>
      <c r="G14" s="4"/>
      <c r="H14" s="4"/>
      <c r="I14" s="4"/>
    </row>
    <row r="15" customFormat="false" ht="30" hidden="false" customHeight="true" outlineLevel="0" collapsed="false">
      <c r="A15" s="14" t="s">
        <v>464</v>
      </c>
      <c r="B15" s="14" t="s">
        <v>465</v>
      </c>
      <c r="C15" s="14" t="s">
        <v>466</v>
      </c>
      <c r="I15" s="14" t="s">
        <v>301</v>
      </c>
    </row>
    <row r="16" customFormat="false" ht="15" hidden="false" customHeight="false" outlineLevel="0" collapsed="false">
      <c r="A16" s="7" t="s">
        <v>467</v>
      </c>
      <c r="B16" s="15" t="n">
        <f aca="false">B12</f>
        <v>0</v>
      </c>
      <c r="C16" s="17" t="n">
        <f aca="false">IF($B$20=0,0,B16/$B$20)</f>
        <v>0</v>
      </c>
    </row>
    <row r="17" customFormat="false" ht="15" hidden="false" customHeight="false" outlineLevel="0" collapsed="false">
      <c r="A17" s="7" t="s">
        <v>468</v>
      </c>
      <c r="B17" s="15" t="n">
        <f aca="false">B9</f>
        <v>0</v>
      </c>
      <c r="C17" s="17" t="n">
        <f aca="false">IF($B$20=0,0,B17/$B$20)</f>
        <v>0</v>
      </c>
    </row>
    <row r="18" customFormat="false" ht="30" hidden="false" customHeight="true" outlineLevel="0" collapsed="false">
      <c r="A18" s="7" t="s">
        <v>469</v>
      </c>
      <c r="B18" s="26" t="n">
        <v>0</v>
      </c>
      <c r="C18" s="17" t="n">
        <f aca="false">IF($B$20=0,0,B18/$B$20)</f>
        <v>0</v>
      </c>
      <c r="I18" s="16" t="s">
        <v>470</v>
      </c>
    </row>
    <row r="19" customFormat="false" ht="30" hidden="false" customHeight="true" outlineLevel="0" collapsed="false">
      <c r="A19" s="7" t="s">
        <v>471</v>
      </c>
      <c r="B19" s="26" t="n">
        <v>0</v>
      </c>
      <c r="C19" s="17" t="n">
        <f aca="false">IF($B$20=0,0,B19/$B$20)</f>
        <v>0</v>
      </c>
      <c r="I19" s="16" t="s">
        <v>472</v>
      </c>
    </row>
    <row r="20" customFormat="false" ht="15" hidden="false" customHeight="false" outlineLevel="0" collapsed="false">
      <c r="A20" s="18" t="s">
        <v>473</v>
      </c>
      <c r="B20" s="19" t="n">
        <f aca="false">SUM(B16:B19)</f>
        <v>0</v>
      </c>
    </row>
    <row r="22" customFormat="false" ht="30" hidden="false" customHeight="true" outlineLevel="0" collapsed="false">
      <c r="A22" s="14" t="s">
        <v>474</v>
      </c>
      <c r="B22" s="14" t="s">
        <v>465</v>
      </c>
      <c r="C22" s="14" t="s">
        <v>466</v>
      </c>
      <c r="I22" s="14" t="s">
        <v>301</v>
      </c>
    </row>
    <row r="23" customFormat="false" ht="30" hidden="false" customHeight="true" outlineLevel="0" collapsed="false">
      <c r="A23" s="7" t="s">
        <v>475</v>
      </c>
      <c r="B23" s="26" t="n">
        <v>0</v>
      </c>
      <c r="C23" s="17" t="n">
        <f aca="false">IF($B$28=0,0,B23/$B$28)</f>
        <v>0</v>
      </c>
      <c r="I23" s="16" t="s">
        <v>476</v>
      </c>
    </row>
    <row r="24" customFormat="false" ht="30" hidden="false" customHeight="true" outlineLevel="0" collapsed="false">
      <c r="A24" s="7" t="s">
        <v>477</v>
      </c>
      <c r="B24" s="26" t="n">
        <v>0</v>
      </c>
      <c r="C24" s="17" t="n">
        <f aca="false">IF($B$28=0,0,B24/$B$28)</f>
        <v>0</v>
      </c>
      <c r="I24" s="16" t="s">
        <v>478</v>
      </c>
    </row>
    <row r="25" customFormat="false" ht="15" hidden="false" customHeight="false" outlineLevel="0" collapsed="false">
      <c r="A25" s="18" t="s">
        <v>479</v>
      </c>
      <c r="B25" s="19" t="n">
        <f aca="false">B20-B23-B24</f>
        <v>0</v>
      </c>
      <c r="C25" s="17" t="n">
        <f aca="false">IF($B$28=0,0,B25/$B$28)</f>
        <v>0</v>
      </c>
    </row>
    <row r="26" customFormat="false" ht="30" hidden="false" customHeight="true" outlineLevel="0" collapsed="false">
      <c r="A26" s="7" t="s">
        <v>480</v>
      </c>
      <c r="B26" s="26" t="n">
        <v>0</v>
      </c>
      <c r="I26" s="16" t="s">
        <v>481</v>
      </c>
    </row>
    <row r="27" customFormat="false" ht="15" hidden="false" customHeight="false" outlineLevel="0" collapsed="false">
      <c r="A27" s="7" t="s">
        <v>482</v>
      </c>
      <c r="B27" s="15" t="n">
        <f aca="false">B25-B26</f>
        <v>0</v>
      </c>
    </row>
    <row r="28" customFormat="false" ht="15" hidden="false" customHeight="false" outlineLevel="0" collapsed="false">
      <c r="A28" s="18" t="s">
        <v>483</v>
      </c>
      <c r="B28" s="19" t="n">
        <f aca="false">B23+B24+B25</f>
        <v>0</v>
      </c>
    </row>
    <row r="29" customFormat="false" ht="15" hidden="false" customHeight="false" outlineLevel="0" collapsed="false">
      <c r="A29" s="7" t="s">
        <v>484</v>
      </c>
      <c r="B29" s="15" t="n">
        <f aca="false">B28-B20</f>
        <v>0</v>
      </c>
    </row>
    <row r="30" customFormat="false" ht="30" hidden="false" customHeight="true" outlineLevel="0" collapsed="false">
      <c r="A30" s="7" t="s">
        <v>485</v>
      </c>
      <c r="B30" s="21" t="n">
        <f aca="false">IF(B5=0,0,(B23+B24)/B5)</f>
        <v>0</v>
      </c>
      <c r="I30" s="16" t="s">
        <v>486</v>
      </c>
    </row>
    <row r="32" customFormat="false" ht="15" hidden="false" customHeight="false" outlineLevel="0" collapsed="false">
      <c r="A32" s="3" t="s">
        <v>487</v>
      </c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false" outlineLevel="0" collapsed="false">
      <c r="A33" s="7" t="s">
        <v>488</v>
      </c>
      <c r="B33" s="30" t="n">
        <v>0.1</v>
      </c>
    </row>
    <row r="34" customFormat="false" ht="23.85" hidden="false" customHeight="false" outlineLevel="0" collapsed="false">
      <c r="A34" s="7" t="s">
        <v>489</v>
      </c>
      <c r="B34" s="37" t="n">
        <v>5</v>
      </c>
    </row>
    <row r="35" customFormat="false" ht="15" hidden="false" customHeight="false" outlineLevel="0" collapsed="false">
      <c r="A35" s="7" t="s">
        <v>490</v>
      </c>
      <c r="B35" s="30" t="n">
        <v>0.08</v>
      </c>
    </row>
    <row r="36" customFormat="false" ht="15" hidden="false" customHeight="false" outlineLevel="0" collapsed="false">
      <c r="A36" s="7" t="s">
        <v>491</v>
      </c>
      <c r="B36" s="37" t="n">
        <v>4</v>
      </c>
    </row>
    <row r="37" customFormat="false" ht="30" hidden="false" customHeight="true" outlineLevel="0" collapsed="false">
      <c r="A37" s="7" t="s">
        <v>492</v>
      </c>
      <c r="B37" s="37" t="n">
        <v>1</v>
      </c>
      <c r="I37" s="16" t="s">
        <v>493</v>
      </c>
    </row>
    <row r="38" customFormat="false" ht="15" hidden="false" customHeight="false" outlineLevel="0" collapsed="false">
      <c r="A38" s="7" t="s">
        <v>494</v>
      </c>
      <c r="B38" s="30" t="n">
        <v>0.15</v>
      </c>
    </row>
    <row r="39" customFormat="false" ht="15" hidden="false" customHeight="false" outlineLevel="0" collapsed="false">
      <c r="A39" s="7" t="s">
        <v>495</v>
      </c>
      <c r="B39" s="30" t="n">
        <v>0.1</v>
      </c>
    </row>
    <row r="40" customFormat="false" ht="30" hidden="false" customHeight="true" outlineLevel="0" collapsed="false">
      <c r="A40" s="7" t="s">
        <v>496</v>
      </c>
      <c r="B40" s="26" t="n">
        <v>240</v>
      </c>
      <c r="I40" s="16" t="s">
        <v>497</v>
      </c>
    </row>
    <row r="41" customFormat="false" ht="15" hidden="false" customHeight="false" outlineLevel="0" collapsed="false">
      <c r="A41" s="7" t="s">
        <v>498</v>
      </c>
      <c r="B41" s="30" t="n">
        <v>0.09</v>
      </c>
    </row>
    <row r="42" customFormat="false" ht="30" hidden="false" customHeight="true" outlineLevel="0" collapsed="false">
      <c r="A42" s="7" t="s">
        <v>499</v>
      </c>
      <c r="B42" s="31" t="n">
        <v>1.25</v>
      </c>
      <c r="I42" s="16" t="s">
        <v>500</v>
      </c>
    </row>
    <row r="44" customFormat="false" ht="15" hidden="false" customHeight="false" outlineLevel="0" collapsed="false">
      <c r="A44" s="3" t="s">
        <v>501</v>
      </c>
      <c r="B44" s="4"/>
      <c r="C44" s="4"/>
      <c r="D44" s="4"/>
      <c r="E44" s="4"/>
      <c r="F44" s="4"/>
      <c r="G44" s="4"/>
      <c r="H44" s="4"/>
      <c r="I44" s="4"/>
    </row>
    <row r="45" customFormat="false" ht="15" hidden="false" customHeight="false" outlineLevel="0" collapsed="false">
      <c r="A45" s="7" t="s">
        <v>502</v>
      </c>
      <c r="B45" s="15" t="n">
        <f aca="false">B5</f>
        <v>0</v>
      </c>
    </row>
    <row r="46" customFormat="false" ht="15" hidden="false" customHeight="false" outlineLevel="0" collapsed="false">
      <c r="A46" s="7" t="s">
        <v>503</v>
      </c>
      <c r="B46" s="15" t="n">
        <f aca="false">1_DRE!F21</f>
        <v>0</v>
      </c>
    </row>
    <row r="47" customFormat="false" ht="15" hidden="false" customHeight="false" outlineLevel="0" collapsed="false">
      <c r="A47" s="7" t="s">
        <v>504</v>
      </c>
      <c r="B47" s="15" t="n">
        <f aca="false">B23*B33+B24*B35</f>
        <v>0</v>
      </c>
    </row>
    <row r="48" customFormat="false" ht="15" hidden="false" customHeight="false" outlineLevel="0" collapsed="false">
      <c r="A48" s="7" t="s">
        <v>505</v>
      </c>
      <c r="B48" s="15" t="n">
        <f aca="false">B45-B46-B47</f>
        <v>0</v>
      </c>
    </row>
    <row r="49" customFormat="false" ht="30" hidden="false" customHeight="true" outlineLevel="0" collapsed="false">
      <c r="A49" s="7" t="s">
        <v>506</v>
      </c>
      <c r="B49" s="15" t="n">
        <f aca="false">MAX(0,B48)*(B38+B41)+MAX(0,B48-B40)*B39</f>
        <v>0</v>
      </c>
      <c r="I49" s="16" t="s">
        <v>507</v>
      </c>
    </row>
    <row r="50" customFormat="false" ht="15" hidden="false" customHeight="false" outlineLevel="0" collapsed="false">
      <c r="A50" s="7" t="s">
        <v>508</v>
      </c>
      <c r="B50" s="15" t="n">
        <f aca="false">3_DFC!F11</f>
        <v>0</v>
      </c>
    </row>
    <row r="51" customFormat="false" ht="15" hidden="false" customHeight="false" outlineLevel="0" collapsed="false">
      <c r="A51" s="7" t="s">
        <v>509</v>
      </c>
      <c r="B51" s="15" t="n">
        <f aca="false">2_Balanco!F20</f>
        <v>0</v>
      </c>
    </row>
    <row r="52" customFormat="false" ht="30" hidden="false" customHeight="true" outlineLevel="0" collapsed="false">
      <c r="A52" s="18" t="s">
        <v>510</v>
      </c>
      <c r="B52" s="19" t="n">
        <f aca="false">B45-B49-B50-B51</f>
        <v>0</v>
      </c>
      <c r="I52" s="16" t="s">
        <v>511</v>
      </c>
    </row>
    <row r="53" customFormat="false" ht="15" hidden="false" customHeight="false" outlineLevel="0" collapsed="false">
      <c r="A53" s="7" t="s">
        <v>512</v>
      </c>
      <c r="B53" s="15" t="n">
        <f aca="false">MIN(B23,B23/B34)+IF(B37&gt;=1,0,MIN(B24,B24/MAX(1,B36-B37)))</f>
        <v>0</v>
      </c>
    </row>
    <row r="54" customFormat="false" ht="15" hidden="false" customHeight="false" outlineLevel="0" collapsed="false">
      <c r="A54" s="7" t="s">
        <v>513</v>
      </c>
      <c r="B54" s="15" t="n">
        <f aca="false">B47+B53</f>
        <v>0</v>
      </c>
    </row>
    <row r="55" customFormat="false" ht="15" hidden="false" customHeight="false" outlineLevel="0" collapsed="false">
      <c r="A55" s="18" t="s">
        <v>514</v>
      </c>
      <c r="B55" s="38" t="n">
        <f aca="false">IF(B54=0,0,B52/B54)</f>
        <v>0</v>
      </c>
    </row>
    <row r="56" customFormat="false" ht="15" hidden="false" customHeight="false" outlineLevel="0" collapsed="false">
      <c r="A56" s="7" t="s">
        <v>515</v>
      </c>
      <c r="B56" s="15" t="n">
        <f aca="false">B52-B54</f>
        <v>0</v>
      </c>
    </row>
    <row r="57" customFormat="false" ht="30" hidden="false" customHeight="true" outlineLevel="0" collapsed="false">
      <c r="A57" s="7" t="s">
        <v>516</v>
      </c>
      <c r="B57" s="17" t="n">
        <f aca="false">IF(B25=0,0,B56/B25)</f>
        <v>0</v>
      </c>
      <c r="I57" s="16" t="s">
        <v>517</v>
      </c>
    </row>
    <row r="59" customFormat="false" ht="15" hidden="false" customHeight="false" outlineLevel="0" collapsed="false">
      <c r="A59" s="3" t="s">
        <v>518</v>
      </c>
      <c r="B59" s="4"/>
      <c r="C59" s="4"/>
      <c r="D59" s="4"/>
      <c r="E59" s="4"/>
      <c r="F59" s="4"/>
      <c r="G59" s="4"/>
      <c r="H59" s="4"/>
      <c r="I59" s="4"/>
    </row>
    <row r="60" customFormat="false" ht="30" hidden="false" customHeight="true" outlineLevel="0" collapsed="false">
      <c r="A60" s="7" t="s">
        <v>519</v>
      </c>
      <c r="B60" s="30" t="n">
        <v>0.1</v>
      </c>
      <c r="I60" s="16" t="s">
        <v>520</v>
      </c>
    </row>
    <row r="61" customFormat="false" ht="15" hidden="false" customHeight="false" outlineLevel="0" collapsed="false">
      <c r="A61" s="7" t="s">
        <v>521</v>
      </c>
      <c r="B61" s="17" t="n">
        <f aca="false">IF(1_DRE!F8=0,0,1_DRE!F10/1_DRE!F8)</f>
        <v>0</v>
      </c>
    </row>
    <row r="62" customFormat="false" ht="30" hidden="false" customHeight="true" outlineLevel="0" collapsed="false">
      <c r="A62" s="7" t="s">
        <v>522</v>
      </c>
      <c r="B62" s="15" t="n">
        <f aca="false">1_DRE!F8*(1-B61)-B5</f>
        <v>0</v>
      </c>
      <c r="I62" s="16" t="s">
        <v>523</v>
      </c>
    </row>
    <row r="63" customFormat="false" ht="15" hidden="false" customHeight="false" outlineLevel="0" collapsed="false">
      <c r="A63" s="7" t="s">
        <v>524</v>
      </c>
      <c r="B63" s="15" t="n">
        <f aca="false">1_DRE!F8*(1-B60)</f>
        <v>0</v>
      </c>
    </row>
    <row r="64" customFormat="false" ht="15" hidden="false" customHeight="false" outlineLevel="0" collapsed="false">
      <c r="A64" s="7" t="s">
        <v>525</v>
      </c>
      <c r="B64" s="15" t="n">
        <f aca="false">B63*(1-B61)-B62</f>
        <v>0</v>
      </c>
    </row>
    <row r="65" customFormat="false" ht="15" hidden="false" customHeight="false" outlineLevel="0" collapsed="false">
      <c r="A65" s="7" t="s">
        <v>526</v>
      </c>
      <c r="B65" s="15" t="n">
        <f aca="false">MAX(0,B64-B46-B47)*(B38+B41)+MAX(0,B64-B46-B47-B40)*B39</f>
        <v>0</v>
      </c>
    </row>
    <row r="66" customFormat="false" ht="15" hidden="false" customHeight="false" outlineLevel="0" collapsed="false">
      <c r="A66" s="7" t="s">
        <v>527</v>
      </c>
      <c r="B66" s="15" t="n">
        <f aca="false">B64-B65-B50-B51</f>
        <v>0</v>
      </c>
    </row>
    <row r="67" customFormat="false" ht="15" hidden="false" customHeight="false" outlineLevel="0" collapsed="false">
      <c r="A67" s="18" t="s">
        <v>528</v>
      </c>
      <c r="B67" s="38" t="n">
        <f aca="false">IF(B54=0,0,B66/B54)</f>
        <v>0</v>
      </c>
    </row>
    <row r="68" customFormat="false" ht="15" hidden="false" customHeight="false" outlineLevel="0" collapsed="false">
      <c r="A68" s="7" t="s">
        <v>529</v>
      </c>
      <c r="B68" s="15" t="n">
        <f aca="false">B66-B54</f>
        <v>0</v>
      </c>
    </row>
    <row r="69" customFormat="false" ht="30" hidden="false" customHeight="true" outlineLevel="0" collapsed="false">
      <c r="A69" s="18" t="s">
        <v>92</v>
      </c>
      <c r="B69" s="23">
        <f aca="false">IFERROR(1-((((1)*B54+B50+B51-(B38+B41)*(B46+B47))/(1-B38-B41))+B62)/(1_DRE!F8*(1-B61)),"")</f>
      </c>
      <c r="I69" s="16" t="s">
        <v>530</v>
      </c>
    </row>
    <row r="70" customFormat="false" ht="15" hidden="false" customHeight="false" outlineLevel="0" collapsed="false">
      <c r="A70" s="18" t="s">
        <v>531</v>
      </c>
      <c r="B70" s="23">
        <f aca="false">IFERROR(1-((((B42)*B54+B50+B51-(B38+B41)*(B46+B47))/(1-B38-B41))+B62)/(1_DRE!F8*(1-B61)),"")</f>
      </c>
    </row>
    <row r="72" customFormat="false" ht="15" hidden="false" customHeight="false" outlineLevel="0" collapsed="false">
      <c r="A72" s="3" t="s">
        <v>532</v>
      </c>
      <c r="B72" s="4"/>
      <c r="C72" s="4"/>
      <c r="D72" s="4"/>
      <c r="E72" s="4"/>
      <c r="F72" s="4"/>
      <c r="G72" s="4"/>
      <c r="H72" s="4"/>
      <c r="I72" s="4"/>
    </row>
    <row r="73" customFormat="false" ht="30" hidden="false" customHeight="true" outlineLevel="0" collapsed="false">
      <c r="A73" s="14" t="s">
        <v>107</v>
      </c>
      <c r="B73" s="14" t="s">
        <v>533</v>
      </c>
      <c r="C73" s="14" t="s">
        <v>351</v>
      </c>
      <c r="D73" s="14" t="s">
        <v>352</v>
      </c>
      <c r="E73" s="14" t="s">
        <v>353</v>
      </c>
      <c r="F73" s="14" t="s">
        <v>354</v>
      </c>
      <c r="G73" s="14" t="s">
        <v>355</v>
      </c>
      <c r="I73" s="14" t="s">
        <v>301</v>
      </c>
    </row>
    <row r="74" customFormat="false" ht="15" hidden="false" customHeight="false" outlineLevel="0" collapsed="false">
      <c r="A74" s="7" t="s">
        <v>534</v>
      </c>
      <c r="C74" s="24" t="n">
        <v>1</v>
      </c>
      <c r="D74" s="24" t="n">
        <v>2</v>
      </c>
      <c r="E74" s="24" t="n">
        <v>3</v>
      </c>
      <c r="F74" s="24" t="n">
        <v>4</v>
      </c>
      <c r="G74" s="24" t="n">
        <v>5</v>
      </c>
    </row>
    <row r="75" customFormat="false" ht="15" hidden="false" customHeight="false" outlineLevel="0" collapsed="false">
      <c r="A75" s="7" t="s">
        <v>535</v>
      </c>
      <c r="C75" s="15" t="n">
        <f aca="false">B23</f>
        <v>0</v>
      </c>
      <c r="D75" s="15" t="n">
        <f aca="false">C78</f>
        <v>0</v>
      </c>
      <c r="E75" s="15" t="n">
        <f aca="false">D78</f>
        <v>0</v>
      </c>
      <c r="F75" s="15" t="n">
        <f aca="false">E78</f>
        <v>0</v>
      </c>
      <c r="G75" s="15" t="n">
        <f aca="false">F78</f>
        <v>0</v>
      </c>
    </row>
    <row r="76" customFormat="false" ht="15" hidden="false" customHeight="false" outlineLevel="0" collapsed="false">
      <c r="A76" s="7" t="s">
        <v>536</v>
      </c>
      <c r="C76" s="15" t="n">
        <f aca="false">C75*$B$33</f>
        <v>0</v>
      </c>
      <c r="D76" s="15" t="n">
        <f aca="false">D75*$B$33</f>
        <v>0</v>
      </c>
      <c r="E76" s="15" t="n">
        <f aca="false">E75*$B$33</f>
        <v>0</v>
      </c>
      <c r="F76" s="15" t="n">
        <f aca="false">F75*$B$33</f>
        <v>0</v>
      </c>
      <c r="G76" s="15" t="n">
        <f aca="false">G75*$B$33</f>
        <v>0</v>
      </c>
    </row>
    <row r="77" customFormat="false" ht="15" hidden="false" customHeight="false" outlineLevel="0" collapsed="false">
      <c r="A77" s="7" t="s">
        <v>537</v>
      </c>
      <c r="C77" s="15" t="n">
        <f aca="false">MIN(C75,$B$23/$B$34)</f>
        <v>0</v>
      </c>
      <c r="D77" s="15" t="n">
        <f aca="false">MIN(D75,$B$23/$B$34)</f>
        <v>0</v>
      </c>
      <c r="E77" s="15" t="n">
        <f aca="false">MIN(E75,$B$23/$B$34)</f>
        <v>0</v>
      </c>
      <c r="F77" s="15" t="n">
        <f aca="false">MIN(F75,$B$23/$B$34)</f>
        <v>0</v>
      </c>
      <c r="G77" s="15" t="n">
        <f aca="false">MIN(G75,$B$23/$B$34)</f>
        <v>0</v>
      </c>
    </row>
    <row r="78" customFormat="false" ht="15" hidden="false" customHeight="false" outlineLevel="0" collapsed="false">
      <c r="A78" s="7" t="s">
        <v>538</v>
      </c>
      <c r="B78" s="15" t="n">
        <f aca="false">B23</f>
        <v>0</v>
      </c>
      <c r="C78" s="15" t="n">
        <f aca="false">C75-C77</f>
        <v>0</v>
      </c>
      <c r="D78" s="15" t="n">
        <f aca="false">D75-D77</f>
        <v>0</v>
      </c>
      <c r="E78" s="15" t="n">
        <f aca="false">E75-E77</f>
        <v>0</v>
      </c>
      <c r="F78" s="15" t="n">
        <f aca="false">F75-F77</f>
        <v>0</v>
      </c>
      <c r="G78" s="15" t="n">
        <f aca="false">G75-G77</f>
        <v>0</v>
      </c>
    </row>
    <row r="79" customFormat="false" ht="15" hidden="false" customHeight="false" outlineLevel="0" collapsed="false">
      <c r="A79" s="7" t="s">
        <v>539</v>
      </c>
      <c r="C79" s="15" t="n">
        <f aca="false">B24</f>
        <v>0</v>
      </c>
      <c r="D79" s="15" t="n">
        <f aca="false">C82</f>
        <v>0</v>
      </c>
      <c r="E79" s="15" t="n">
        <f aca="false">D82</f>
        <v>0</v>
      </c>
      <c r="F79" s="15" t="n">
        <f aca="false">E82</f>
        <v>0</v>
      </c>
      <c r="G79" s="15" t="n">
        <f aca="false">F82</f>
        <v>0</v>
      </c>
    </row>
    <row r="80" customFormat="false" ht="15" hidden="false" customHeight="false" outlineLevel="0" collapsed="false">
      <c r="A80" s="7" t="s">
        <v>536</v>
      </c>
      <c r="C80" s="15" t="n">
        <f aca="false">C79*$B$35</f>
        <v>0</v>
      </c>
      <c r="D80" s="15" t="n">
        <f aca="false">D79*$B$35</f>
        <v>0</v>
      </c>
      <c r="E80" s="15" t="n">
        <f aca="false">E79*$B$35</f>
        <v>0</v>
      </c>
      <c r="F80" s="15" t="n">
        <f aca="false">F79*$B$35</f>
        <v>0</v>
      </c>
      <c r="G80" s="15" t="n">
        <f aca="false">G79*$B$35</f>
        <v>0</v>
      </c>
    </row>
    <row r="81" customFormat="false" ht="15" hidden="false" customHeight="false" outlineLevel="0" collapsed="false">
      <c r="A81" s="7" t="s">
        <v>540</v>
      </c>
      <c r="C81" s="15" t="n">
        <f aca="false">IF(C$74&lt;=$B$37,0,MIN(C79,$B$24/MAX(1,$B$36-$B$37)))</f>
        <v>0</v>
      </c>
      <c r="D81" s="15" t="n">
        <f aca="false">IF(D$74&lt;=$B$37,0,MIN(D79,$B$24/MAX(1,$B$36-$B$37)))</f>
        <v>0</v>
      </c>
      <c r="E81" s="15" t="n">
        <f aca="false">IF(E$74&lt;=$B$37,0,MIN(E79,$B$24/MAX(1,$B$36-$B$37)))</f>
        <v>0</v>
      </c>
      <c r="F81" s="15" t="n">
        <f aca="false">IF(F$74&lt;=$B$37,0,MIN(F79,$B$24/MAX(1,$B$36-$B$37)))</f>
        <v>0</v>
      </c>
      <c r="G81" s="15" t="n">
        <f aca="false">IF(G$74&lt;=$B$37,0,MIN(G79,$B$24/MAX(1,$B$36-$B$37)))</f>
        <v>0</v>
      </c>
    </row>
    <row r="82" customFormat="false" ht="15" hidden="false" customHeight="false" outlineLevel="0" collapsed="false">
      <c r="A82" s="7" t="s">
        <v>538</v>
      </c>
      <c r="B82" s="15" t="n">
        <f aca="false">B24</f>
        <v>0</v>
      </c>
      <c r="C82" s="15" t="n">
        <f aca="false">C79-C81</f>
        <v>0</v>
      </c>
      <c r="D82" s="15" t="n">
        <f aca="false">D79-D81</f>
        <v>0</v>
      </c>
      <c r="E82" s="15" t="n">
        <f aca="false">E79-E81</f>
        <v>0</v>
      </c>
      <c r="F82" s="15" t="n">
        <f aca="false">F79-F81</f>
        <v>0</v>
      </c>
      <c r="G82" s="15" t="n">
        <f aca="false">G79-G81</f>
        <v>0</v>
      </c>
    </row>
    <row r="83" customFormat="false" ht="15" hidden="false" customHeight="false" outlineLevel="0" collapsed="false">
      <c r="A83" s="18" t="s">
        <v>541</v>
      </c>
      <c r="C83" s="19" t="n">
        <f aca="false">C76+C77+C80+C81</f>
        <v>0</v>
      </c>
      <c r="D83" s="19" t="n">
        <f aca="false">D76+D77+D80+D81</f>
        <v>0</v>
      </c>
      <c r="E83" s="19" t="n">
        <f aca="false">E76+E77+E80+E81</f>
        <v>0</v>
      </c>
      <c r="F83" s="19" t="n">
        <f aca="false">F76+F77+F80+F81</f>
        <v>0</v>
      </c>
      <c r="G83" s="19" t="n">
        <f aca="false">G76+G77+G80+G81</f>
        <v>0</v>
      </c>
    </row>
    <row r="84" customFormat="false" ht="15" hidden="false" customHeight="false" outlineLevel="0" collapsed="false">
      <c r="A84" s="7" t="s">
        <v>542</v>
      </c>
      <c r="C84" s="15" t="n">
        <f aca="false">5_Valuation!D26</f>
        <v>0</v>
      </c>
      <c r="D84" s="15" t="n">
        <f aca="false">5_Valuation!E26</f>
        <v>0</v>
      </c>
      <c r="E84" s="15" t="n">
        <f aca="false">5_Valuation!F26</f>
        <v>0</v>
      </c>
      <c r="F84" s="15" t="n">
        <f aca="false">5_Valuation!G26</f>
        <v>0</v>
      </c>
      <c r="G84" s="15" t="n">
        <f aca="false">5_Valuation!H26</f>
        <v>0</v>
      </c>
    </row>
    <row r="85" customFormat="false" ht="15" hidden="false" customHeight="false" outlineLevel="0" collapsed="false">
      <c r="A85" s="7" t="s">
        <v>543</v>
      </c>
      <c r="C85" s="15" t="n">
        <f aca="false">MAX(0,C84-5_Valuation!D27-C76-C80)*($B$38+$B$41)+MAX(0,C84-5_Valuation!D27-C76-C80-$B$40)*$B$39</f>
        <v>0</v>
      </c>
      <c r="D85" s="15" t="n">
        <f aca="false">MAX(0,D84-5_Valuation!E27-D76-D80)*($B$38+$B$41)+MAX(0,D84-5_Valuation!E27-D76-D80-$B$40)*$B$39</f>
        <v>0</v>
      </c>
      <c r="E85" s="15" t="n">
        <f aca="false">MAX(0,E84-5_Valuation!F27-E76-E80)*($B$38+$B$41)+MAX(0,E84-5_Valuation!F27-E76-E80-$B$40)*$B$39</f>
        <v>0</v>
      </c>
      <c r="F85" s="15" t="n">
        <f aca="false">MAX(0,F84-5_Valuation!G27-F76-F80)*($B$38+$B$41)+MAX(0,F84-5_Valuation!G27-F76-F80-$B$40)*$B$39</f>
        <v>0</v>
      </c>
      <c r="G85" s="15" t="n">
        <f aca="false">MAX(0,G84-5_Valuation!H27-G76-G80)*($B$38+$B$41)+MAX(0,G84-5_Valuation!H27-G76-G80-$B$40)*$B$39</f>
        <v>0</v>
      </c>
    </row>
    <row r="86" customFormat="false" ht="15" hidden="false" customHeight="false" outlineLevel="0" collapsed="false">
      <c r="A86" s="7" t="s">
        <v>544</v>
      </c>
      <c r="C86" s="15" t="n">
        <f aca="false">5_Valuation!D30</f>
        <v>0</v>
      </c>
      <c r="D86" s="15" t="n">
        <f aca="false">5_Valuation!E30</f>
        <v>0</v>
      </c>
      <c r="E86" s="15" t="n">
        <f aca="false">5_Valuation!F30</f>
        <v>0</v>
      </c>
      <c r="F86" s="15" t="n">
        <f aca="false">5_Valuation!G30</f>
        <v>0</v>
      </c>
      <c r="G86" s="15" t="n">
        <f aca="false">5_Valuation!H30</f>
        <v>0</v>
      </c>
    </row>
    <row r="87" customFormat="false" ht="15" hidden="false" customHeight="false" outlineLevel="0" collapsed="false">
      <c r="A87" s="7" t="s">
        <v>545</v>
      </c>
      <c r="C87" s="15" t="n">
        <f aca="false">5_Valuation!D32</f>
        <v>0</v>
      </c>
      <c r="D87" s="15" t="n">
        <f aca="false">5_Valuation!E32</f>
        <v>0</v>
      </c>
      <c r="E87" s="15" t="n">
        <f aca="false">5_Valuation!F32</f>
        <v>0</v>
      </c>
      <c r="F87" s="15" t="n">
        <f aca="false">5_Valuation!G32</f>
        <v>0</v>
      </c>
      <c r="G87" s="15" t="n">
        <f aca="false">5_Valuation!H32</f>
        <v>0</v>
      </c>
    </row>
    <row r="88" customFormat="false" ht="15" hidden="false" customHeight="false" outlineLevel="0" collapsed="false">
      <c r="A88" s="18" t="s">
        <v>510</v>
      </c>
      <c r="C88" s="19" t="n">
        <f aca="false">C84-C85-C86-C87</f>
        <v>0</v>
      </c>
      <c r="D88" s="19" t="n">
        <f aca="false">D84-D85-D86-D87</f>
        <v>0</v>
      </c>
      <c r="E88" s="19" t="n">
        <f aca="false">E84-E85-E86-E87</f>
        <v>0</v>
      </c>
      <c r="F88" s="19" t="n">
        <f aca="false">F84-F85-F86-F87</f>
        <v>0</v>
      </c>
      <c r="G88" s="19" t="n">
        <f aca="false">G84-G85-G86-G87</f>
        <v>0</v>
      </c>
    </row>
    <row r="89" customFormat="false" ht="15" hidden="false" customHeight="false" outlineLevel="0" collapsed="false">
      <c r="A89" s="18" t="s">
        <v>546</v>
      </c>
      <c r="C89" s="22" t="n">
        <f aca="false">IF(C83=0,0,C88/C83)</f>
        <v>0</v>
      </c>
      <c r="D89" s="22" t="n">
        <f aca="false">IF(D83=0,0,D88/D83)</f>
        <v>0</v>
      </c>
      <c r="E89" s="22" t="n">
        <f aca="false">IF(E83=0,0,E88/E83)</f>
        <v>0</v>
      </c>
      <c r="F89" s="22" t="n">
        <f aca="false">IF(F83=0,0,F88/F83)</f>
        <v>0</v>
      </c>
      <c r="G89" s="22" t="n">
        <f aca="false">IF(G83=0,0,G88/G83)</f>
        <v>0</v>
      </c>
    </row>
    <row r="90" customFormat="false" ht="15" hidden="false" customHeight="false" outlineLevel="0" collapsed="false">
      <c r="A90" s="7" t="s">
        <v>547</v>
      </c>
      <c r="C90" s="15" t="n">
        <f aca="false">C88-C83</f>
        <v>0</v>
      </c>
      <c r="D90" s="15" t="n">
        <f aca="false">D88-D83</f>
        <v>0</v>
      </c>
      <c r="E90" s="15" t="n">
        <f aca="false">E88-E83</f>
        <v>0</v>
      </c>
      <c r="F90" s="15" t="n">
        <f aca="false">F88-F83</f>
        <v>0</v>
      </c>
      <c r="G90" s="15" t="n">
        <f aca="false">G88-G83</f>
        <v>0</v>
      </c>
    </row>
    <row r="91" customFormat="false" ht="15" hidden="false" customHeight="false" outlineLevel="0" collapsed="false">
      <c r="A91" s="7" t="s">
        <v>548</v>
      </c>
      <c r="B91" s="15" t="n">
        <f aca="false">B10+B19</f>
        <v>0</v>
      </c>
      <c r="C91" s="15" t="n">
        <f aca="false">B91+C90</f>
        <v>0</v>
      </c>
      <c r="D91" s="15" t="n">
        <f aca="false">C91+D90</f>
        <v>0</v>
      </c>
      <c r="E91" s="15" t="n">
        <f aca="false">D91+E90</f>
        <v>0</v>
      </c>
      <c r="F91" s="15" t="n">
        <f aca="false">E91+F90</f>
        <v>0</v>
      </c>
      <c r="G91" s="15" t="n">
        <f aca="false">F91+G90</f>
        <v>0</v>
      </c>
      <c r="I91" s="16" t="s">
        <v>549</v>
      </c>
    </row>
    <row r="92" customFormat="false" ht="15" hidden="false" customHeight="false" outlineLevel="0" collapsed="false">
      <c r="A92" s="7" t="s">
        <v>550</v>
      </c>
      <c r="C92" s="17" t="n">
        <f aca="false">IF($B$25=0,0,C90/$B$25)</f>
        <v>0</v>
      </c>
      <c r="D92" s="17" t="n">
        <f aca="false">IF($B$25=0,0,D90/$B$25)</f>
        <v>0</v>
      </c>
      <c r="E92" s="17" t="n">
        <f aca="false">IF($B$25=0,0,E90/$B$25)</f>
        <v>0</v>
      </c>
      <c r="F92" s="17" t="n">
        <f aca="false">IF($B$25=0,0,F90/$B$25)</f>
        <v>0</v>
      </c>
      <c r="G92" s="17" t="n">
        <f aca="false">IF($B$25=0,0,G90/$B$25)</f>
        <v>0</v>
      </c>
    </row>
  </sheetData>
  <conditionalFormatting sqref="B55">
    <cfRule type="cellIs" priority="2" operator="lessThan" aboveAverage="0" equalAverage="0" bottom="0" percent="0" rank="0" text="" dxfId="0">
      <formula>1</formula>
    </cfRule>
    <cfRule type="expression" priority="3" aboveAverage="0" equalAverage="0" bottom="0" percent="0" rank="0" text="" dxfId="1">
      <formula>AND(B55&gt;=1,B55&lt;$B$42)</formula>
    </cfRule>
  </conditionalFormatting>
  <conditionalFormatting sqref="B67">
    <cfRule type="cellIs" priority="4" operator="lessThan" aboveAverage="0" equalAverage="0" bottom="0" percent="0" rank="0" text="" dxfId="0">
      <formula>1</formula>
    </cfRule>
    <cfRule type="expression" priority="5" aboveAverage="0" equalAverage="0" bottom="0" percent="0" rank="0" text="" dxfId="1">
      <formula>AND(B67&gt;=1,B67&lt;$B$42)</formula>
    </cfRule>
  </conditionalFormatting>
  <conditionalFormatting sqref="C89:G89">
    <cfRule type="cellIs" priority="6" operator="lessThan" aboveAverage="0" equalAverage="0" bottom="0" percent="0" rank="0" text="" dxfId="0">
      <formula>1</formula>
    </cfRule>
    <cfRule type="expression" priority="7" aboveAverage="0" equalAverage="0" bottom="0" percent="0" rank="0" text="" dxfId="1">
      <formula>AND(C89&gt;=1,C89&lt;$B$42)</formula>
    </cfRule>
  </conditionalFormatting>
  <conditionalFormatting sqref="B29">
    <cfRule type="cellIs" priority="8" operator="notBetween" aboveAverage="0" equalAverage="0" bottom="0" percent="0" rank="0" text="" dxfId="2">
      <formula>-0.5</formula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551</v>
      </c>
    </row>
    <row r="2" customFormat="false" ht="15" hidden="false" customHeight="false" outlineLevel="0" collapsed="false">
      <c r="A2" s="2" t="s">
        <v>552</v>
      </c>
    </row>
    <row r="4" customFormat="false" ht="15" hidden="false" customHeight="false" outlineLevel="0" collapsed="false">
      <c r="A4" s="3" t="s">
        <v>553</v>
      </c>
      <c r="B4" s="4"/>
      <c r="C4" s="4"/>
    </row>
    <row r="5" customFormat="false" ht="30" hidden="false" customHeight="true" outlineLevel="0" collapsed="false">
      <c r="A5" s="7" t="s">
        <v>554</v>
      </c>
      <c r="B5" s="24" t="n">
        <v>5</v>
      </c>
      <c r="C5" s="16" t="s">
        <v>555</v>
      </c>
    </row>
    <row r="6" customFormat="false" ht="30" hidden="false" customHeight="true" outlineLevel="0" collapsed="false">
      <c r="A6" s="7" t="s">
        <v>556</v>
      </c>
      <c r="B6" s="31" t="n">
        <v>0</v>
      </c>
      <c r="C6" s="16" t="s">
        <v>557</v>
      </c>
    </row>
    <row r="7" customFormat="false" ht="15" hidden="false" customHeight="true" outlineLevel="0" collapsed="false">
      <c r="A7" s="7" t="s">
        <v>558</v>
      </c>
      <c r="B7" s="30" t="n">
        <v>0.03</v>
      </c>
    </row>
    <row r="8" customFormat="false" ht="30" hidden="false" customHeight="true" outlineLevel="0" collapsed="false">
      <c r="A8" s="7" t="s">
        <v>559</v>
      </c>
      <c r="B8" s="26" t="n">
        <v>0</v>
      </c>
      <c r="C8" s="16" t="s">
        <v>560</v>
      </c>
    </row>
    <row r="9" customFormat="false" ht="30" hidden="false" customHeight="true" outlineLevel="0" collapsed="false">
      <c r="A9" s="7" t="s">
        <v>561</v>
      </c>
      <c r="B9" s="31" t="n">
        <v>1.5</v>
      </c>
      <c r="C9" s="16" t="s">
        <v>562</v>
      </c>
    </row>
    <row r="10" customFormat="false" ht="30" hidden="false" customHeight="true" outlineLevel="0" collapsed="false">
      <c r="A10" s="7" t="s">
        <v>563</v>
      </c>
      <c r="B10" s="30" t="n">
        <v>0.06</v>
      </c>
      <c r="C10" s="16" t="s">
        <v>564</v>
      </c>
    </row>
    <row r="11" customFormat="false" ht="30" hidden="false" customHeight="true" outlineLevel="0" collapsed="false">
      <c r="A11" s="7" t="s">
        <v>565</v>
      </c>
      <c r="B11" s="30" t="n">
        <v>0.25</v>
      </c>
      <c r="C11" s="16" t="s">
        <v>566</v>
      </c>
    </row>
    <row r="12" customFormat="false" ht="30" hidden="false" customHeight="true" outlineLevel="0" collapsed="false">
      <c r="A12" s="7" t="s">
        <v>567</v>
      </c>
      <c r="B12" s="30" t="n">
        <v>1</v>
      </c>
      <c r="C12" s="16" t="s">
        <v>568</v>
      </c>
    </row>
    <row r="14" customFormat="false" ht="15" hidden="false" customHeight="false" outlineLevel="0" collapsed="false">
      <c r="A14" s="3" t="s">
        <v>569</v>
      </c>
      <c r="B14" s="4"/>
      <c r="C14" s="4"/>
    </row>
    <row r="15" customFormat="false" ht="15" hidden="false" customHeight="true" outlineLevel="0" collapsed="false">
      <c r="A15" s="7" t="s">
        <v>570</v>
      </c>
      <c r="B15" s="15" t="n">
        <f aca="false">5_Valuation!H26</f>
        <v>0</v>
      </c>
    </row>
    <row r="16" customFormat="false" ht="15" hidden="false" customHeight="true" outlineLevel="0" collapsed="false">
      <c r="A16" s="7" t="s">
        <v>571</v>
      </c>
      <c r="B16" s="15" t="n">
        <f aca="false">B15*B6</f>
        <v>0</v>
      </c>
    </row>
    <row r="17" customFormat="false" ht="15" hidden="false" customHeight="true" outlineLevel="0" collapsed="false">
      <c r="A17" s="7" t="s">
        <v>572</v>
      </c>
      <c r="B17" s="15" t="n">
        <f aca="false">B16*B7</f>
        <v>0</v>
      </c>
    </row>
    <row r="18" customFormat="false" ht="15" hidden="false" customHeight="true" outlineLevel="0" collapsed="false">
      <c r="A18" s="7" t="s">
        <v>573</v>
      </c>
      <c r="B18" s="15" t="n">
        <f aca="false">6_Estrutura!G78+6_Estrutura!G82</f>
        <v>0</v>
      </c>
    </row>
    <row r="19" customFormat="false" ht="15" hidden="false" customHeight="true" outlineLevel="0" collapsed="false">
      <c r="A19" s="7" t="s">
        <v>574</v>
      </c>
      <c r="B19" s="15" t="n">
        <f aca="false">6_Estrutura!G91</f>
        <v>0</v>
      </c>
    </row>
    <row r="20" customFormat="false" ht="15" hidden="false" customHeight="true" outlineLevel="0" collapsed="false">
      <c r="A20" s="18" t="s">
        <v>575</v>
      </c>
      <c r="B20" s="20" t="n">
        <f aca="false">B16-B17-B18+B19</f>
        <v>0</v>
      </c>
    </row>
    <row r="22" customFormat="false" ht="15" hidden="false" customHeight="false" outlineLevel="0" collapsed="false">
      <c r="A22" s="3" t="s">
        <v>576</v>
      </c>
      <c r="B22" s="4"/>
      <c r="C22" s="4"/>
    </row>
    <row r="23" customFormat="false" ht="15" hidden="false" customHeight="true" outlineLevel="0" collapsed="false">
      <c r="A23" s="7" t="s">
        <v>577</v>
      </c>
      <c r="B23" s="15" t="n">
        <f aca="false">6_Estrutura!B27</f>
        <v>0</v>
      </c>
    </row>
    <row r="24" customFormat="false" ht="15" hidden="false" customHeight="true" outlineLevel="0" collapsed="false">
      <c r="A24" s="7" t="s">
        <v>578</v>
      </c>
      <c r="B24" s="15" t="n">
        <f aca="false">B23+B8*B9</f>
        <v>0</v>
      </c>
    </row>
    <row r="25" customFormat="false" ht="15" hidden="false" customHeight="true" outlineLevel="0" collapsed="false">
      <c r="A25" s="7" t="s">
        <v>579</v>
      </c>
      <c r="B25" s="15" t="n">
        <f aca="false">B24*(1+B10)^B5</f>
        <v>0</v>
      </c>
    </row>
    <row r="26" customFormat="false" ht="15" hidden="false" customHeight="true" outlineLevel="0" collapsed="false">
      <c r="A26" s="7" t="s">
        <v>580</v>
      </c>
      <c r="B26" s="15" t="n">
        <f aca="false">MIN(B20,B25)</f>
        <v>0</v>
      </c>
    </row>
    <row r="27" customFormat="false" ht="15" hidden="false" customHeight="true" outlineLevel="0" collapsed="false">
      <c r="A27" s="7" t="s">
        <v>581</v>
      </c>
      <c r="B27" s="15" t="n">
        <f aca="false">MAX(0,B20-B26)</f>
        <v>0</v>
      </c>
    </row>
    <row r="28" customFormat="false" ht="15" hidden="false" customHeight="true" outlineLevel="0" collapsed="false">
      <c r="A28" s="18" t="s">
        <v>582</v>
      </c>
      <c r="B28" s="19" t="n">
        <f aca="false">B27*B11*B12</f>
        <v>0</v>
      </c>
    </row>
    <row r="29" customFormat="false" ht="15" hidden="false" customHeight="true" outlineLevel="0" collapsed="false">
      <c r="A29" s="7" t="s">
        <v>583</v>
      </c>
      <c r="B29" s="15" t="n">
        <f aca="false">B27-B28</f>
        <v>0</v>
      </c>
    </row>
    <row r="30" customFormat="false" ht="15" hidden="false" customHeight="true" outlineLevel="0" collapsed="false">
      <c r="A30" s="18" t="s">
        <v>584</v>
      </c>
      <c r="B30" s="19" t="n">
        <f aca="false">B26+B29</f>
        <v>0</v>
      </c>
    </row>
    <row r="31" customFormat="false" ht="15" hidden="false" customHeight="true" outlineLevel="0" collapsed="false">
      <c r="A31" s="7" t="s">
        <v>585</v>
      </c>
      <c r="B31" s="15" t="n">
        <f aca="false">B23+B8</f>
        <v>0</v>
      </c>
    </row>
    <row r="32" customFormat="false" ht="15" hidden="false" customHeight="true" outlineLevel="0" collapsed="false">
      <c r="A32" s="18" t="s">
        <v>586</v>
      </c>
      <c r="B32" s="38" t="n">
        <f aca="false">IF(B31=0,0,B30/B31)</f>
        <v>0</v>
      </c>
    </row>
    <row r="33" customFormat="false" ht="30" hidden="false" customHeight="true" outlineLevel="0" collapsed="false">
      <c r="A33" s="18" t="s">
        <v>96</v>
      </c>
      <c r="B33" s="33" t="n">
        <f aca="false">IF(B32&lt;=0,-1,B32^(1/B5)-1)</f>
        <v>-1</v>
      </c>
      <c r="C33" s="16" t="s">
        <v>587</v>
      </c>
    </row>
    <row r="34" customFormat="false" ht="15" hidden="false" customHeight="true" outlineLevel="0" collapsed="false">
      <c r="A34" s="7" t="s">
        <v>588</v>
      </c>
      <c r="B34" s="39" t="str">
        <f aca="false">IF(B33&lt;0.2,"Abaixo de 20%: a tranche de desempenho do searcher não vesta",IF(B33&lt;0.35,"Entre 20% e 35%: vesting parcial da tranche de desempenho","Acima de 35%: vesting integral"))</f>
        <v>Abaixo de 20%: a tranche de desempenho do searcher não vesta</v>
      </c>
      <c r="C34" s="39"/>
    </row>
    <row r="36" customFormat="false" ht="15" hidden="false" customHeight="false" outlineLevel="0" collapsed="false">
      <c r="A36" s="3" t="s">
        <v>589</v>
      </c>
      <c r="B36" s="4"/>
      <c r="C36" s="4"/>
    </row>
    <row r="37" customFormat="false" ht="15" hidden="false" customHeight="true" outlineLevel="0" collapsed="false">
      <c r="A37" s="7" t="s">
        <v>590</v>
      </c>
      <c r="B37" s="15" t="n">
        <f aca="false">6_Estrutura!B25</f>
        <v>0</v>
      </c>
    </row>
    <row r="38" customFormat="false" ht="15" hidden="false" customHeight="true" outlineLevel="0" collapsed="false">
      <c r="A38" s="18" t="s">
        <v>591</v>
      </c>
      <c r="B38" s="22" t="n">
        <f aca="false">IF(B37=0,0,B20/B37)</f>
        <v>0</v>
      </c>
    </row>
    <row r="39" customFormat="false" ht="30" hidden="false" customHeight="true" outlineLevel="0" collapsed="false">
      <c r="A39" s="18" t="s">
        <v>592</v>
      </c>
      <c r="B39" s="23" t="n">
        <f aca="false">IF(B38&lt;=0,-1,B38^(1/B5)-1)</f>
        <v>-1</v>
      </c>
      <c r="C39" s="16" t="s">
        <v>593</v>
      </c>
    </row>
    <row r="40" customFormat="false" ht="15" hidden="false" customHeight="true" outlineLevel="0" collapsed="false">
      <c r="A40" s="7" t="s">
        <v>594</v>
      </c>
      <c r="B40" s="17" t="n">
        <f aca="false">6_Estrutura!C92</f>
        <v>0</v>
      </c>
    </row>
    <row r="42" customFormat="false" ht="22.35" hidden="false" customHeight="false" outlineLevel="0" collapsed="false">
      <c r="A42" s="16" t="s">
        <v>595</v>
      </c>
    </row>
  </sheetData>
  <mergeCells count="1">
    <mergeCell ref="B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596</v>
      </c>
    </row>
    <row r="2" customFormat="false" ht="15" hidden="false" customHeight="false" outlineLevel="0" collapsed="false">
      <c r="A2" s="2" t="s">
        <v>597</v>
      </c>
    </row>
    <row r="4" customFormat="false" ht="15" hidden="false" customHeight="false" outlineLevel="0" collapsed="false">
      <c r="A4" s="3" t="s">
        <v>598</v>
      </c>
      <c r="B4" s="4"/>
      <c r="C4" s="4"/>
      <c r="D4" s="4"/>
      <c r="E4" s="4"/>
    </row>
    <row r="5" customFormat="false" ht="30" hidden="false" customHeight="true" outlineLevel="0" collapsed="false">
      <c r="A5" s="14" t="s">
        <v>51</v>
      </c>
      <c r="B5" s="14" t="s">
        <v>432</v>
      </c>
      <c r="C5" s="14" t="s">
        <v>599</v>
      </c>
      <c r="D5" s="14" t="s">
        <v>600</v>
      </c>
      <c r="E5" s="14" t="s">
        <v>601</v>
      </c>
    </row>
    <row r="6" customFormat="false" ht="30" hidden="false" customHeight="true" outlineLevel="0" collapsed="false">
      <c r="A6" s="7" t="s">
        <v>602</v>
      </c>
      <c r="B6" s="30" t="n">
        <v>0</v>
      </c>
      <c r="C6" s="30" t="n">
        <v>0.2</v>
      </c>
      <c r="D6" s="9" t="str">
        <f aca="false">IF(B6&gt;C6,"Atenção","Dentro do critério")</f>
        <v>Dentro do critério</v>
      </c>
      <c r="E6" s="16" t="s">
        <v>603</v>
      </c>
    </row>
    <row r="7" customFormat="false" ht="30" hidden="false" customHeight="true" outlineLevel="0" collapsed="false">
      <c r="A7" s="7" t="s">
        <v>604</v>
      </c>
      <c r="B7" s="30" t="n">
        <v>0</v>
      </c>
      <c r="C7" s="30" t="n">
        <v>0.5</v>
      </c>
      <c r="D7" s="9" t="str">
        <f aca="false">IF(B7&gt;C7,"Atenção","Dentro do critério")</f>
        <v>Dentro do critério</v>
      </c>
      <c r="E7" s="16" t="s">
        <v>605</v>
      </c>
    </row>
    <row r="8" customFormat="false" ht="30" hidden="false" customHeight="true" outlineLevel="0" collapsed="false">
      <c r="A8" s="7" t="s">
        <v>606</v>
      </c>
      <c r="B8" s="30" t="n">
        <v>0</v>
      </c>
      <c r="C8" s="30" t="n">
        <v>0.4</v>
      </c>
      <c r="D8" s="9" t="str">
        <f aca="false">IF(B8&gt;C8,"Atenção","Dentro do critério")</f>
        <v>Dentro do critério</v>
      </c>
      <c r="E8" s="16" t="s">
        <v>607</v>
      </c>
    </row>
    <row r="9" customFormat="false" ht="30" hidden="false" customHeight="true" outlineLevel="0" collapsed="false">
      <c r="A9" s="7" t="s">
        <v>608</v>
      </c>
      <c r="B9" s="30" t="n">
        <v>0</v>
      </c>
      <c r="C9" s="30" t="n">
        <v>0.3</v>
      </c>
      <c r="D9" s="9" t="str">
        <f aca="false">IF(B9&lt;C9,"Atenção","Dentro do critério")</f>
        <v>Atenção</v>
      </c>
      <c r="E9" s="16" t="s">
        <v>609</v>
      </c>
    </row>
    <row r="10" customFormat="false" ht="30" hidden="false" customHeight="true" outlineLevel="0" collapsed="false">
      <c r="A10" s="7" t="s">
        <v>610</v>
      </c>
      <c r="B10" s="30" t="n">
        <v>0</v>
      </c>
      <c r="C10" s="30" t="n">
        <v>0.1</v>
      </c>
      <c r="D10" s="9" t="str">
        <f aca="false">IF(B10&gt;C10,"Atenção","Dentro do critério")</f>
        <v>Dentro do critério</v>
      </c>
      <c r="E10" s="16" t="s">
        <v>611</v>
      </c>
    </row>
    <row r="12" customFormat="false" ht="15" hidden="false" customHeight="false" outlineLevel="0" collapsed="false">
      <c r="A12" s="3" t="s">
        <v>612</v>
      </c>
      <c r="B12" s="4"/>
      <c r="C12" s="4"/>
      <c r="D12" s="4"/>
      <c r="E12" s="4"/>
    </row>
    <row r="13" customFormat="false" ht="15" hidden="false" customHeight="false" outlineLevel="0" collapsed="false">
      <c r="A13" s="7" t="s">
        <v>613</v>
      </c>
      <c r="B13" s="37" t="n">
        <v>0</v>
      </c>
      <c r="E13" s="16" t="s">
        <v>614</v>
      </c>
    </row>
    <row r="14" customFormat="false" ht="22.35" hidden="false" customHeight="false" outlineLevel="0" collapsed="false">
      <c r="A14" s="7" t="s">
        <v>615</v>
      </c>
      <c r="B14" s="40" t="n">
        <v>0</v>
      </c>
      <c r="E14" s="16" t="s">
        <v>616</v>
      </c>
    </row>
    <row r="15" customFormat="false" ht="15" hidden="false" customHeight="false" outlineLevel="0" collapsed="false">
      <c r="A15" s="7" t="s">
        <v>617</v>
      </c>
      <c r="B15" s="15" t="n">
        <f aca="false">IF(B14=0,0,1_DRE!F8/B14)</f>
        <v>0</v>
      </c>
    </row>
    <row r="17" customFormat="false" ht="15" hidden="false" customHeight="false" outlineLevel="0" collapsed="false">
      <c r="A17" s="3" t="s">
        <v>618</v>
      </c>
      <c r="B17" s="4"/>
      <c r="C17" s="4"/>
      <c r="D17" s="4"/>
      <c r="E17" s="4"/>
    </row>
    <row r="18" customFormat="false" ht="30" hidden="false" customHeight="true" outlineLevel="0" collapsed="false">
      <c r="A18" s="14" t="s">
        <v>619</v>
      </c>
      <c r="B18" s="14" t="s">
        <v>620</v>
      </c>
      <c r="E18" s="14" t="s">
        <v>621</v>
      </c>
    </row>
    <row r="19" customFormat="false" ht="22.35" hidden="false" customHeight="false" outlineLevel="0" collapsed="false">
      <c r="A19" s="7" t="s">
        <v>622</v>
      </c>
      <c r="B19" s="37" t="n">
        <v>0</v>
      </c>
      <c r="E19" s="16" t="s">
        <v>623</v>
      </c>
    </row>
    <row r="20" customFormat="false" ht="22.35" hidden="false" customHeight="false" outlineLevel="0" collapsed="false">
      <c r="A20" s="7" t="s">
        <v>624</v>
      </c>
      <c r="B20" s="37" t="n">
        <v>0</v>
      </c>
      <c r="E20" s="16" t="s">
        <v>623</v>
      </c>
    </row>
    <row r="21" customFormat="false" ht="22.35" hidden="false" customHeight="false" outlineLevel="0" collapsed="false">
      <c r="A21" s="7" t="s">
        <v>625</v>
      </c>
      <c r="B21" s="37" t="n">
        <v>0</v>
      </c>
      <c r="E21" s="16" t="s">
        <v>623</v>
      </c>
    </row>
    <row r="22" customFormat="false" ht="22.35" hidden="false" customHeight="false" outlineLevel="0" collapsed="false">
      <c r="A22" s="7" t="s">
        <v>626</v>
      </c>
      <c r="B22" s="37" t="n">
        <v>0</v>
      </c>
      <c r="E22" s="16" t="s">
        <v>623</v>
      </c>
    </row>
    <row r="23" customFormat="false" ht="22.35" hidden="false" customHeight="false" outlineLevel="0" collapsed="false">
      <c r="A23" s="7" t="s">
        <v>627</v>
      </c>
      <c r="B23" s="37" t="n">
        <v>0</v>
      </c>
      <c r="E23" s="16" t="s">
        <v>623</v>
      </c>
    </row>
    <row r="24" customFormat="false" ht="22.35" hidden="false" customHeight="false" outlineLevel="0" collapsed="false">
      <c r="A24" s="7" t="s">
        <v>628</v>
      </c>
      <c r="B24" s="37" t="n">
        <v>0</v>
      </c>
      <c r="E24" s="16" t="s">
        <v>623</v>
      </c>
    </row>
    <row r="25" customFormat="false" ht="15" hidden="false" customHeight="false" outlineLevel="0" collapsed="false">
      <c r="A25" s="18" t="s">
        <v>629</v>
      </c>
      <c r="B25" s="41" t="n">
        <f aca="false">AVERAGE(B19:B24)</f>
        <v>0</v>
      </c>
    </row>
    <row r="26" customFormat="false" ht="30" hidden="false" customHeight="true" outlineLevel="0" collapsed="false">
      <c r="A26" s="18" t="s">
        <v>630</v>
      </c>
      <c r="B26" s="42" t="n">
        <f aca="false">MIN(B19:B24)</f>
        <v>0</v>
      </c>
      <c r="D26" s="9" t="str">
        <f aca="false">IF(B26=0,"Dependência crítica do dono","Sem função crítica descoberta")</f>
        <v>Dependência crítica do dono</v>
      </c>
      <c r="E26" s="16" t="s">
        <v>631</v>
      </c>
    </row>
    <row r="27" customFormat="false" ht="15" hidden="false" customHeight="false" outlineLevel="0" collapsed="false">
      <c r="A27" s="7" t="s">
        <v>632</v>
      </c>
      <c r="B27" s="24" t="n">
        <f aca="false">COUNTIF(B19:B24,0)</f>
        <v>6</v>
      </c>
    </row>
  </sheetData>
  <conditionalFormatting sqref="D6:D10">
    <cfRule type="expression" priority="2" aboveAverage="0" equalAverage="0" bottom="0" percent="0" rank="0" text="" dxfId="2">
      <formula>D6="Atenção"</formula>
    </cfRule>
  </conditionalFormatting>
  <conditionalFormatting sqref="D26">
    <cfRule type="expression" priority="3" aboveAverage="0" equalAverage="0" bottom="0" percent="0" rank="0" text="" dxfId="2">
      <formula>B26=0</formula>
    </cfRule>
  </conditionalFormatting>
  <dataValidations count="1">
    <dataValidation allowBlank="true" error="Use 0, 1 ou 2." errorStyle="stop" errorTitle="Nota inválida" operator="between" showDropDown="false" showErrorMessage="false" showInputMessage="false" sqref="B19:B24" type="whole">
      <formula1>0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633</v>
      </c>
    </row>
    <row r="2" customFormat="false" ht="15" hidden="false" customHeight="false" outlineLevel="0" collapsed="false">
      <c r="A2" s="2" t="s">
        <v>634</v>
      </c>
    </row>
    <row r="4" customFormat="false" ht="30" hidden="false" customHeight="true" outlineLevel="0" collapsed="false">
      <c r="A4" s="14" t="s">
        <v>635</v>
      </c>
      <c r="B4" s="14" t="s">
        <v>636</v>
      </c>
      <c r="C4" s="14" t="s">
        <v>637</v>
      </c>
    </row>
    <row r="5" customFormat="false" ht="30" hidden="false" customHeight="true" outlineLevel="0" collapsed="false">
      <c r="A5" s="18" t="s">
        <v>638</v>
      </c>
      <c r="B5" s="7" t="s">
        <v>639</v>
      </c>
      <c r="C5" s="16" t="s">
        <v>640</v>
      </c>
    </row>
    <row r="6" customFormat="false" ht="30" hidden="false" customHeight="true" outlineLevel="0" collapsed="false">
      <c r="A6" s="18" t="s">
        <v>641</v>
      </c>
      <c r="B6" s="7" t="s">
        <v>642</v>
      </c>
      <c r="C6" s="16" t="s">
        <v>643</v>
      </c>
    </row>
    <row r="7" customFormat="false" ht="30" hidden="false" customHeight="true" outlineLevel="0" collapsed="false">
      <c r="A7" s="18" t="s">
        <v>644</v>
      </c>
      <c r="B7" s="7" t="s">
        <v>645</v>
      </c>
      <c r="C7" s="16" t="s">
        <v>646</v>
      </c>
    </row>
    <row r="8" customFormat="false" ht="30" hidden="false" customHeight="true" outlineLevel="0" collapsed="false">
      <c r="A8" s="18" t="s">
        <v>366</v>
      </c>
      <c r="B8" s="7" t="s">
        <v>647</v>
      </c>
      <c r="C8" s="16" t="s">
        <v>648</v>
      </c>
    </row>
    <row r="9" customFormat="false" ht="30" hidden="false" customHeight="true" outlineLevel="0" collapsed="false">
      <c r="A9" s="18" t="s">
        <v>315</v>
      </c>
      <c r="B9" s="7" t="s">
        <v>649</v>
      </c>
      <c r="C9" s="16" t="s">
        <v>648</v>
      </c>
    </row>
    <row r="10" customFormat="false" ht="30" hidden="false" customHeight="true" outlineLevel="0" collapsed="false">
      <c r="A10" s="18" t="s">
        <v>650</v>
      </c>
      <c r="B10" s="7" t="s">
        <v>651</v>
      </c>
      <c r="C10" s="16" t="s">
        <v>652</v>
      </c>
    </row>
    <row r="11" customFormat="false" ht="30" hidden="false" customHeight="true" outlineLevel="0" collapsed="false">
      <c r="A11" s="18" t="s">
        <v>653</v>
      </c>
      <c r="B11" s="7" t="s">
        <v>654</v>
      </c>
      <c r="C11" s="16" t="s">
        <v>643</v>
      </c>
    </row>
    <row r="12" customFormat="false" ht="30" hidden="false" customHeight="true" outlineLevel="0" collapsed="false">
      <c r="A12" s="18" t="s">
        <v>64</v>
      </c>
      <c r="B12" s="7" t="s">
        <v>655</v>
      </c>
      <c r="C12" s="16" t="s">
        <v>643</v>
      </c>
    </row>
    <row r="13" customFormat="false" ht="30" hidden="false" customHeight="true" outlineLevel="0" collapsed="false">
      <c r="A13" s="18" t="s">
        <v>656</v>
      </c>
      <c r="B13" s="7" t="s">
        <v>657</v>
      </c>
      <c r="C13" s="16" t="s">
        <v>643</v>
      </c>
    </row>
    <row r="14" customFormat="false" ht="30" hidden="false" customHeight="true" outlineLevel="0" collapsed="false">
      <c r="A14" s="18" t="s">
        <v>658</v>
      </c>
      <c r="B14" s="7" t="s">
        <v>659</v>
      </c>
      <c r="C14" s="16" t="s">
        <v>660</v>
      </c>
    </row>
    <row r="15" customFormat="false" ht="30" hidden="false" customHeight="true" outlineLevel="0" collapsed="false">
      <c r="A15" s="18" t="s">
        <v>661</v>
      </c>
      <c r="B15" s="7" t="s">
        <v>662</v>
      </c>
      <c r="C15" s="16" t="s">
        <v>660</v>
      </c>
    </row>
    <row r="16" customFormat="false" ht="30" hidden="false" customHeight="true" outlineLevel="0" collapsed="false">
      <c r="A16" s="18" t="s">
        <v>393</v>
      </c>
      <c r="B16" s="7" t="s">
        <v>663</v>
      </c>
      <c r="C16" s="16" t="s">
        <v>660</v>
      </c>
    </row>
    <row r="17" customFormat="false" ht="30" hidden="false" customHeight="true" outlineLevel="0" collapsed="false">
      <c r="A17" s="18" t="s">
        <v>664</v>
      </c>
      <c r="B17" s="7" t="s">
        <v>665</v>
      </c>
      <c r="C17" s="16" t="s">
        <v>666</v>
      </c>
    </row>
    <row r="18" customFormat="false" ht="30" hidden="false" customHeight="true" outlineLevel="0" collapsed="false">
      <c r="A18" s="18" t="s">
        <v>427</v>
      </c>
      <c r="B18" s="7" t="s">
        <v>667</v>
      </c>
      <c r="C18" s="16" t="s">
        <v>660</v>
      </c>
    </row>
    <row r="19" customFormat="false" ht="30" hidden="false" customHeight="true" outlineLevel="0" collapsed="false">
      <c r="A19" s="18" t="s">
        <v>668</v>
      </c>
      <c r="B19" s="7" t="s">
        <v>669</v>
      </c>
      <c r="C19" s="16" t="s">
        <v>670</v>
      </c>
    </row>
    <row r="20" customFormat="false" ht="30" hidden="false" customHeight="true" outlineLevel="0" collapsed="false">
      <c r="A20" s="18" t="s">
        <v>671</v>
      </c>
      <c r="B20" s="7" t="s">
        <v>672</v>
      </c>
      <c r="C20" s="16" t="s">
        <v>670</v>
      </c>
    </row>
    <row r="21" customFormat="false" ht="30" hidden="false" customHeight="true" outlineLevel="0" collapsed="false">
      <c r="A21" s="18" t="s">
        <v>673</v>
      </c>
      <c r="B21" s="7" t="s">
        <v>674</v>
      </c>
      <c r="C21" s="16" t="s">
        <v>675</v>
      </c>
    </row>
    <row r="22" customFormat="false" ht="30" hidden="false" customHeight="true" outlineLevel="0" collapsed="false">
      <c r="A22" s="18" t="s">
        <v>676</v>
      </c>
      <c r="B22" s="7" t="s">
        <v>677</v>
      </c>
      <c r="C22" s="16" t="s">
        <v>678</v>
      </c>
    </row>
    <row r="23" customFormat="false" ht="30" hidden="false" customHeight="true" outlineLevel="0" collapsed="false">
      <c r="A23" s="18" t="s">
        <v>679</v>
      </c>
      <c r="B23" s="7" t="s">
        <v>680</v>
      </c>
      <c r="C23" s="16" t="s">
        <v>681</v>
      </c>
    </row>
    <row r="24" customFormat="false" ht="30" hidden="false" customHeight="true" outlineLevel="0" collapsed="false">
      <c r="A24" s="18" t="s">
        <v>682</v>
      </c>
      <c r="B24" s="7" t="s">
        <v>683</v>
      </c>
      <c r="C24" s="16" t="s">
        <v>684</v>
      </c>
    </row>
    <row r="25" customFormat="false" ht="30" hidden="false" customHeight="true" outlineLevel="0" collapsed="false">
      <c r="A25" s="18" t="s">
        <v>685</v>
      </c>
      <c r="B25" s="7" t="s">
        <v>686</v>
      </c>
      <c r="C25" s="16" t="s">
        <v>684</v>
      </c>
    </row>
    <row r="26" customFormat="false" ht="30" hidden="false" customHeight="true" outlineLevel="0" collapsed="false">
      <c r="A26" s="18" t="s">
        <v>687</v>
      </c>
      <c r="B26" s="7" t="s">
        <v>688</v>
      </c>
      <c r="C26" s="16" t="s">
        <v>684</v>
      </c>
    </row>
    <row r="27" customFormat="false" ht="30" hidden="false" customHeight="true" outlineLevel="0" collapsed="false">
      <c r="A27" s="18" t="s">
        <v>689</v>
      </c>
      <c r="B27" s="7" t="s">
        <v>690</v>
      </c>
      <c r="C27" s="16" t="s">
        <v>684</v>
      </c>
    </row>
    <row r="28" customFormat="false" ht="30" hidden="false" customHeight="true" outlineLevel="0" collapsed="false">
      <c r="A28" s="18" t="s">
        <v>691</v>
      </c>
      <c r="B28" s="7" t="s">
        <v>692</v>
      </c>
      <c r="C28" s="16" t="s">
        <v>670</v>
      </c>
    </row>
    <row r="29" customFormat="false" ht="30" hidden="false" customHeight="true" outlineLevel="0" collapsed="false">
      <c r="A29" s="18" t="s">
        <v>693</v>
      </c>
      <c r="B29" s="7" t="s">
        <v>694</v>
      </c>
      <c r="C29" s="16" t="s">
        <v>675</v>
      </c>
    </row>
    <row r="31" customFormat="false" ht="15" hidden="false" customHeight="false" outlineLevel="0" collapsed="false">
      <c r="A31" s="3" t="s">
        <v>695</v>
      </c>
      <c r="B31" s="4"/>
      <c r="C31" s="4"/>
    </row>
    <row r="32" customFormat="false" ht="30" hidden="false" customHeight="true" outlineLevel="0" collapsed="false">
      <c r="A32" s="14" t="s">
        <v>429</v>
      </c>
      <c r="B32" s="14" t="s">
        <v>696</v>
      </c>
      <c r="C32" s="14" t="s">
        <v>697</v>
      </c>
    </row>
    <row r="33" customFormat="false" ht="45" hidden="false" customHeight="true" outlineLevel="0" collapsed="false">
      <c r="A33" s="18" t="s">
        <v>698</v>
      </c>
      <c r="B33" s="7" t="s">
        <v>699</v>
      </c>
      <c r="C33" s="43" t="s">
        <v>700</v>
      </c>
    </row>
    <row r="34" customFormat="false" ht="45" hidden="false" customHeight="true" outlineLevel="0" collapsed="false">
      <c r="A34" s="18" t="s">
        <v>701</v>
      </c>
      <c r="B34" s="7" t="s">
        <v>702</v>
      </c>
      <c r="C34" s="16" t="s">
        <v>703</v>
      </c>
    </row>
    <row r="35" customFormat="false" ht="45" hidden="false" customHeight="true" outlineLevel="0" collapsed="false">
      <c r="A35" s="18" t="s">
        <v>704</v>
      </c>
      <c r="B35" s="7" t="s">
        <v>705</v>
      </c>
      <c r="C35" s="43" t="s">
        <v>706</v>
      </c>
    </row>
    <row r="36" customFormat="false" ht="45" hidden="false" customHeight="true" outlineLevel="0" collapsed="false">
      <c r="A36" s="18" t="s">
        <v>707</v>
      </c>
      <c r="B36" s="7" t="s">
        <v>708</v>
      </c>
      <c r="C36" s="43" t="s">
        <v>709</v>
      </c>
    </row>
    <row r="37" customFormat="false" ht="45" hidden="false" customHeight="true" outlineLevel="0" collapsed="false">
      <c r="A37" s="18" t="s">
        <v>710</v>
      </c>
      <c r="B37" s="7" t="s">
        <v>711</v>
      </c>
      <c r="C37" s="43" t="s">
        <v>712</v>
      </c>
    </row>
    <row r="38" customFormat="false" ht="45" hidden="false" customHeight="true" outlineLevel="0" collapsed="false">
      <c r="A38" s="18" t="s">
        <v>713</v>
      </c>
      <c r="B38" s="7" t="s">
        <v>714</v>
      </c>
      <c r="C38" s="43" t="s">
        <v>715</v>
      </c>
    </row>
    <row r="39" customFormat="false" ht="45" hidden="false" customHeight="true" outlineLevel="0" collapsed="false">
      <c r="A39" s="18" t="s">
        <v>716</v>
      </c>
      <c r="B39" s="7" t="s">
        <v>717</v>
      </c>
      <c r="C39" s="43" t="s">
        <v>718</v>
      </c>
    </row>
    <row r="40" customFormat="false" ht="45" hidden="false" customHeight="true" outlineLevel="0" collapsed="false">
      <c r="A40" s="18" t="s">
        <v>719</v>
      </c>
      <c r="B40" s="7" t="s">
        <v>720</v>
      </c>
      <c r="C40" s="43" t="s">
        <v>721</v>
      </c>
    </row>
    <row r="41" customFormat="false" ht="45" hidden="false" customHeight="true" outlineLevel="0" collapsed="false">
      <c r="A41" s="18" t="s">
        <v>722</v>
      </c>
      <c r="B41" s="7" t="s">
        <v>723</v>
      </c>
      <c r="C41" s="43" t="s">
        <v>724</v>
      </c>
    </row>
    <row r="42" customFormat="false" ht="45" hidden="false" customHeight="true" outlineLevel="0" collapsed="false">
      <c r="A42" s="18" t="s">
        <v>725</v>
      </c>
      <c r="B42" s="7" t="s">
        <v>726</v>
      </c>
      <c r="C42" s="43" t="s">
        <v>727</v>
      </c>
    </row>
  </sheetData>
  <hyperlinks>
    <hyperlink ref="C33" r:id="rId1" display="https://buythenbuild.com/is-it-a-fair-multiple-defining-a-good-deal/"/>
    <hyperlink ref="C35" r:id="rId2" display="https://www.onetoonefunds.com/wp-content/uploads/sites/11/2024/10/2024_Search-Fund-Study_Selected-Observations_Stanford-GSB.pdf"/>
    <hyperlink ref="C36" r:id="rId3" display="https://cerralvo.com/wp-content/uploads/2023/12/A-Primer-on-Search-Funds.pdf"/>
    <hyperlink ref="C37" r:id="rId4" display="https://www.iese.edu/media/research/pdfs/ST-0658-E"/>
    <hyperlink ref="C38" r:id="rId5" display="https://www.gruposantamarta.com/search-funds/"/>
    <hyperlink ref="C39" r:id="rId6" display="https://som.yale.edu/sites/default/files/2025-04/Exploring%20Search%20Fund%20Entrepreneur%20Economics.pdf"/>
    <hyperlink ref="C40" r:id="rId7" display="https://searchfunder.com/post/step-up-the-most-important-number-in-search-fund-investing"/>
    <hyperlink ref="C41" r:id="rId8" display="https://pages.stern.nyu.edu/~adamodar/"/>
    <hyperlink ref="C42" r:id="rId9" display="https://www.projectionhub.com/financial-projection-template/search-fun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2026-09-27T19:02:44Z</dcterms:created>
  <dc:creator>openpyxl</dc:creator>
  <dc:description/>
  <dc:language>en-US</dc:language>
  <cp:lastModifiedBy/>
  <dcterms:modified xsi:type="dcterms:W3CDTF">2026-09-27T19:02:44Z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